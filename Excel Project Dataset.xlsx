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MM\Documents\"/>
    </mc:Choice>
  </mc:AlternateContent>
  <xr:revisionPtr revIDLastSave="0" documentId="13_ncr:1_{2F2C2C07-0D43-447E-9C88-96A510EB6F13}"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sharedStrings.xml><?xml version="1.0" encoding="utf-8"?>
<sst xmlns="http://schemas.openxmlformats.org/spreadsheetml/2006/main" count="16482" uniqueCount="52">
  <si>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</si>
  <si>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</si>
  <si>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</si>
  <si>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</si>
  <si>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</si>
  <si>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</si>
  <si>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</si>
  <si>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</si>
  <si>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</si>
  <si>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</si>
  <si>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</si>
  <si>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</si>
  <si>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</si>
  <si>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</si>
  <si>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</si>
  <si>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</si>
  <si>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</si>
  <si>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</si>
  <si>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</si>
  <si>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</si>
  <si>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</si>
  <si>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</si>
  <si>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</si>
  <si>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</si>
  <si>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</si>
  <si>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</si>
  <si>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</si>
  <si>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</si>
  <si>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</si>
  <si>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</si>
  <si>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</si>
  <si>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</si>
  <si>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</si>
  <si>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</si>
  <si>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</si>
  <si>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</si>
  <si>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</si>
  <si>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</si>
  <si>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Marital status</t>
  </si>
  <si>
    <t>Male</t>
  </si>
  <si>
    <t>Female</t>
  </si>
  <si>
    <t>Age Backets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</si>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</sst>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43"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#,##0.00_);_(* \(#,##0.00\);_(* "-"??_);_(@_)</c:formatCode>
                <c:ptCount val="2"/>
                <c:pt idx="0">
                  <c:v>53449.612403100778</c:v>
                </c:pt>
                <c:pt idx="1">
                  <c:v>56520.146520146518</c:v>
                </c:pt>
              </c:numCache>
            </c:numRef>
          </c:val>
          <c:extLst>
            <c:ext xmlns:c16="http://schemas.microsoft.com/office/drawing/2014/chart" uri="{C3380CC4-5D6E-409C-BE32-E72D297353CC}">
              <c16:uniqueId val="{00000000-6D4F-453B-8A28-40B5665D4983}"/>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#,##0.00_);_(* \(#,##0.00\);_(* "-"??_);_(@_)</c:formatCode>
                <c:ptCount val="2"/>
                <c:pt idx="0">
                  <c:v>55267.489711934155</c:v>
                </c:pt>
                <c:pt idx="1">
                  <c:v>59603.174603174601</c:v>
                </c:pt>
              </c:numCache>
            </c:numRef>
          </c:val>
          <c:extLst>
            <c:ext xmlns:c16="http://schemas.microsoft.com/office/drawing/2014/chart" uri="{C3380CC4-5D6E-409C-BE32-E72D297353CC}">
              <c16:uniqueId val="{00000001-6D4F-453B-8A28-40B5665D4983}"/>
            </c:ext>
          </c:extLst>
        </c:ser>
        <c:dLbls>
          <c:showLegendKey val="0"/>
          <c:showVal val="0"/>
          <c:showCatName val="0"/>
          <c:showSerName val="0"/>
          <c:showPercent val="0"/>
          <c:showBubbleSize val="0"/>
        </c:dLbls>
        <c:gapWidth val="219"/>
        <c:overlap val="-27"/>
        <c:axId val="534065040"/>
        <c:axId val="534054640"/>
      </c:barChart>
      <c:catAx>
        <c:axId val="534065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54640"/>
        <c:crosses val="autoZero"/>
        <c:auto val="1"/>
        <c:lblAlgn val="ctr"/>
        <c:lblOffset val="100"/>
        <c:noMultiLvlLbl val="0"/>
      </c:catAx>
      <c:valAx>
        <c:axId val="534054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65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Tables'!$B$27:$B$28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Tables'!$A$29:$A$34</c:f>
              <c:strCache>
                <c:ptCount val="5"/>
                <c:pt idx="0">
                  <c:v>0-1 Miles</c:v>
                </c:pt>
                <c:pt idx="1">
                  <c:v>1-2 Miles</c:v>
                </c:pt>
                <c:pt idx="2">
                  <c:v>2-5 Miles</c:v>
                </c:pt>
                <c:pt idx="3">
                  <c:v>5-10 Miles</c:v>
                </c:pt>
                <c:pt idx="4">
                  <c:v>More than 10 Miles</c:v>
                </c:pt>
              </c:strCache>
            </c:strRef>
          </c:cat>
          <c:val>
            <c:numRef>
              <c:f>'Pivot Tables'!$B$29:$B$34</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0C3A-49B6-B963-6EA2EA484C50}"/>
            </c:ext>
          </c:extLst>
        </c:ser>
        <c:ser>
          <c:idx val="1"/>
          <c:order val="1"/>
          <c:tx>
            <c:strRef>
              <c:f>'Pivot Tables'!$C$27:$C$28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Tables'!$A$29:$A$34</c:f>
              <c:strCache>
                <c:ptCount val="5"/>
                <c:pt idx="0">
                  <c:v>0-1 Miles</c:v>
                </c:pt>
                <c:pt idx="1">
                  <c:v>1-2 Miles</c:v>
                </c:pt>
                <c:pt idx="2">
                  <c:v>2-5 Miles</c:v>
                </c:pt>
                <c:pt idx="3">
                  <c:v>5-10 Miles</c:v>
                </c:pt>
                <c:pt idx="4">
                  <c:v>More than 10 Miles</c:v>
                </c:pt>
              </c:strCache>
            </c:strRef>
          </c:cat>
          <c:val>
            <c:numRef>
              <c:f>'Pivot Tables'!$C$29:$C$34</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0C3A-49B6-B963-6EA2EA484C50}"/>
            </c:ext>
          </c:extLst>
        </c:ser>
        <c:dLbls>
          <c:showLegendKey val="0"/>
          <c:showVal val="0"/>
          <c:showCatName val="0"/>
          <c:showSerName val="0"/>
          <c:showPercent val="0"/>
          <c:showBubbleSize val="0"/>
        </c:dLbls>
        <c:marker val="1"/>
        <c:smooth val="0"/>
        <c:axId val="715833503"/>
        <c:axId val="715833919"/>
      </c:lineChart>
      <c:catAx>
        <c:axId val="7158335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833919"/>
        <c:crosses val="autoZero"/>
        <c:auto val="1"/>
        <c:lblAlgn val="ctr"/>
        <c:lblOffset val="100"/>
        <c:noMultiLvlLbl val="0"/>
      </c:catAx>
      <c:valAx>
        <c:axId val="7158339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 Bike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8335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Tables'!$B$46:$B$47</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Tables'!$A$48:$A$51</c:f>
              <c:strCache>
                <c:ptCount val="3"/>
                <c:pt idx="0">
                  <c:v>Adolescent</c:v>
                </c:pt>
                <c:pt idx="1">
                  <c:v>Middle Age</c:v>
                </c:pt>
                <c:pt idx="2">
                  <c:v>OLD</c:v>
                </c:pt>
              </c:strCache>
            </c:strRef>
          </c:cat>
          <c:val>
            <c:numRef>
              <c:f>'Pivot Tables'!$B$48:$B$51</c:f>
              <c:numCache>
                <c:formatCode>General</c:formatCode>
                <c:ptCount val="3"/>
                <c:pt idx="0">
                  <c:v>71</c:v>
                </c:pt>
                <c:pt idx="1">
                  <c:v>277</c:v>
                </c:pt>
                <c:pt idx="2">
                  <c:v>183</c:v>
                </c:pt>
              </c:numCache>
            </c:numRef>
          </c:val>
          <c:smooth val="0"/>
          <c:extLst>
            <c:ext xmlns:c16="http://schemas.microsoft.com/office/drawing/2014/chart" uri="{C3380CC4-5D6E-409C-BE32-E72D297353CC}">
              <c16:uniqueId val="{00000000-0200-4B30-861E-DD13CAAD39DD}"/>
            </c:ext>
          </c:extLst>
        </c:ser>
        <c:ser>
          <c:idx val="1"/>
          <c:order val="1"/>
          <c:tx>
            <c:strRef>
              <c:f>'Pivot Tables'!$C$46:$C$47</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Tables'!$A$48:$A$51</c:f>
              <c:strCache>
                <c:ptCount val="3"/>
                <c:pt idx="0">
                  <c:v>Adolescent</c:v>
                </c:pt>
                <c:pt idx="1">
                  <c:v>Middle Age</c:v>
                </c:pt>
                <c:pt idx="2">
                  <c:v>OLD</c:v>
                </c:pt>
              </c:strCache>
            </c:strRef>
          </c:cat>
          <c:val>
            <c:numRef>
              <c:f>'Pivot Tables'!$C$48:$C$51</c:f>
              <c:numCache>
                <c:formatCode>General</c:formatCode>
                <c:ptCount val="3"/>
                <c:pt idx="0">
                  <c:v>41</c:v>
                </c:pt>
                <c:pt idx="1">
                  <c:v>328</c:v>
                </c:pt>
                <c:pt idx="2">
                  <c:v>126</c:v>
                </c:pt>
              </c:numCache>
            </c:numRef>
          </c:val>
          <c:smooth val="0"/>
          <c:extLst>
            <c:ext xmlns:c16="http://schemas.microsoft.com/office/drawing/2014/chart" uri="{C3380CC4-5D6E-409C-BE32-E72D297353CC}">
              <c16:uniqueId val="{00000001-0200-4B30-861E-DD13CAAD39DD}"/>
            </c:ext>
          </c:extLst>
        </c:ser>
        <c:dLbls>
          <c:dLblPos val="ctr"/>
          <c:showLegendKey val="0"/>
          <c:showVal val="1"/>
          <c:showCatName val="0"/>
          <c:showSerName val="0"/>
          <c:showPercent val="0"/>
          <c:showBubbleSize val="0"/>
        </c:dLbls>
        <c:marker val="1"/>
        <c:smooth val="0"/>
        <c:axId val="774516175"/>
        <c:axId val="774517007"/>
      </c:lineChart>
      <c:catAx>
        <c:axId val="774516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Backets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4517007"/>
        <c:crosses val="autoZero"/>
        <c:auto val="1"/>
        <c:lblAlgn val="ctr"/>
        <c:lblOffset val="100"/>
        <c:noMultiLvlLbl val="0"/>
      </c:catAx>
      <c:valAx>
        <c:axId val="7745170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Purchased Bike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77451617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Purchace Per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Tables'!$B$67:$B$68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Tables'!$A$69:$A$122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Tables'!$B$69:$B$122</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51C-4B60-B34C-8101F04CD789}"/>
            </c:ext>
          </c:extLst>
        </c:ser>
        <c:ser>
          <c:idx val="1"/>
          <c:order val="1"/>
          <c:tx>
            <c:strRef>
              <c:f>'Pivot Tables'!$C$67:$C$68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Tables'!$A$69:$A$122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Tables'!$C$69:$C$122</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51C-4B60-B34C-8101F04CD789}"/>
            </c:ext>
          </c:extLst>
        </c:ser>
        <c:dLbls>
          <c:showLegendKey val="0"/>
          <c:showVal val="0"/>
          <c:showCatName val="0"/>
          <c:showSerName val="0"/>
          <c:showPercent val="0"/>
          <c:showBubbleSize val="0"/>
        </c:dLbls>
        <c:marker val="1"/>
        <c:smooth val="0"/>
        <c:axId val="896153551"/>
        <c:axId val="896153967"/>
      </c:lineChart>
      <c:catAx>
        <c:axId val="8961535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153967"/>
        <c:crosses val="autoZero"/>
        <c:auto val="1"/>
        <c:lblAlgn val="ctr"/>
        <c:lblOffset val="100"/>
        <c:noMultiLvlLbl val="0"/>
      </c:catAx>
      <c:valAx>
        <c:axId val="8961539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615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#,##0.00_);_(* \(#,##0.00\);_(* "-"??_);_(@_)</c:formatCode>
                <c:ptCount val="2"/>
                <c:pt idx="0">
                  <c:v>53449.612403100778</c:v>
                </c:pt>
                <c:pt idx="1">
                  <c:v>56520.146520146518</c:v>
                </c:pt>
              </c:numCache>
            </c:numRef>
          </c:val>
          <c:extLst>
            <c:ext xmlns:c16="http://schemas.microsoft.com/office/drawing/2014/chart" uri="{C3380CC4-5D6E-409C-BE32-E72D297353CC}">
              <c16:uniqueId val="{00000000-2DE4-4B6B-8AB2-4216C264023C}"/>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#,##0.00_);_(* \(#,##0.00\);_(* "-"??_);_(@_)</c:formatCode>
                <c:ptCount val="2"/>
                <c:pt idx="0">
                  <c:v>55267.489711934155</c:v>
                </c:pt>
                <c:pt idx="1">
                  <c:v>59603.174603174601</c:v>
                </c:pt>
              </c:numCache>
            </c:numRef>
          </c:val>
          <c:extLst>
            <c:ext xmlns:c16="http://schemas.microsoft.com/office/drawing/2014/chart" uri="{C3380CC4-5D6E-409C-BE32-E72D297353CC}">
              <c16:uniqueId val="{00000001-2DE4-4B6B-8AB2-4216C264023C}"/>
            </c:ext>
          </c:extLst>
        </c:ser>
        <c:dLbls>
          <c:showLegendKey val="0"/>
          <c:showVal val="0"/>
          <c:showCatName val="0"/>
          <c:showSerName val="0"/>
          <c:showPercent val="0"/>
          <c:showBubbleSize val="0"/>
        </c:dLbls>
        <c:gapWidth val="219"/>
        <c:overlap val="-27"/>
        <c:axId val="534065040"/>
        <c:axId val="534054640"/>
      </c:barChart>
      <c:catAx>
        <c:axId val="534065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54640"/>
        <c:crosses val="autoZero"/>
        <c:auto val="1"/>
        <c:lblAlgn val="ctr"/>
        <c:lblOffset val="100"/>
        <c:noMultiLvlLbl val="0"/>
      </c:catAx>
      <c:valAx>
        <c:axId val="534054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65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Tables'!$B$27:$B$28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Tables'!$A$29:$A$34</c:f>
              <c:strCache>
                <c:ptCount val="5"/>
                <c:pt idx="0">
                  <c:v>0-1 Miles</c:v>
                </c:pt>
                <c:pt idx="1">
                  <c:v>1-2 Miles</c:v>
                </c:pt>
                <c:pt idx="2">
                  <c:v>2-5 Miles</c:v>
                </c:pt>
                <c:pt idx="3">
                  <c:v>5-10 Miles</c:v>
                </c:pt>
                <c:pt idx="4">
                  <c:v>More than 10 Miles</c:v>
                </c:pt>
              </c:strCache>
            </c:strRef>
          </c:cat>
          <c:val>
            <c:numRef>
              <c:f>'Pivot Tables'!$B$29:$B$34</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FA65-42AA-A196-5B7320A0174E}"/>
            </c:ext>
          </c:extLst>
        </c:ser>
        <c:ser>
          <c:idx val="1"/>
          <c:order val="1"/>
          <c:tx>
            <c:strRef>
              <c:f>'Pivot Tables'!$C$27:$C$28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Tables'!$A$29:$A$34</c:f>
              <c:strCache>
                <c:ptCount val="5"/>
                <c:pt idx="0">
                  <c:v>0-1 Miles</c:v>
                </c:pt>
                <c:pt idx="1">
                  <c:v>1-2 Miles</c:v>
                </c:pt>
                <c:pt idx="2">
                  <c:v>2-5 Miles</c:v>
                </c:pt>
                <c:pt idx="3">
                  <c:v>5-10 Miles</c:v>
                </c:pt>
                <c:pt idx="4">
                  <c:v>More than 10 Miles</c:v>
                </c:pt>
              </c:strCache>
            </c:strRef>
          </c:cat>
          <c:val>
            <c:numRef>
              <c:f>'Pivot Tables'!$C$29:$C$34</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FA65-42AA-A196-5B7320A0174E}"/>
            </c:ext>
          </c:extLst>
        </c:ser>
        <c:dLbls>
          <c:showLegendKey val="0"/>
          <c:showVal val="0"/>
          <c:showCatName val="0"/>
          <c:showSerName val="0"/>
          <c:showPercent val="0"/>
          <c:showBubbleSize val="0"/>
        </c:dLbls>
        <c:marker val="1"/>
        <c:smooth val="0"/>
        <c:axId val="715833503"/>
        <c:axId val="715833919"/>
      </c:lineChart>
      <c:catAx>
        <c:axId val="7158335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833919"/>
        <c:crosses val="autoZero"/>
        <c:auto val="1"/>
        <c:lblAlgn val="ctr"/>
        <c:lblOffset val="100"/>
        <c:noMultiLvlLbl val="0"/>
      </c:catAx>
      <c:valAx>
        <c:axId val="7158339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 Bike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8335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Tables'!$B$46:$B$47</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Tables'!$A$48:$A$51</c:f>
              <c:strCache>
                <c:ptCount val="3"/>
                <c:pt idx="0">
                  <c:v>Adolescent</c:v>
                </c:pt>
                <c:pt idx="1">
                  <c:v>Middle Age</c:v>
                </c:pt>
                <c:pt idx="2">
                  <c:v>OLD</c:v>
                </c:pt>
              </c:strCache>
            </c:strRef>
          </c:cat>
          <c:val>
            <c:numRef>
              <c:f>'Pivot Tables'!$B$48:$B$51</c:f>
              <c:numCache>
                <c:formatCode>General</c:formatCode>
                <c:ptCount val="3"/>
                <c:pt idx="0">
                  <c:v>71</c:v>
                </c:pt>
                <c:pt idx="1">
                  <c:v>277</c:v>
                </c:pt>
                <c:pt idx="2">
                  <c:v>183</c:v>
                </c:pt>
              </c:numCache>
            </c:numRef>
          </c:val>
          <c:smooth val="0"/>
          <c:extLst>
            <c:ext xmlns:c16="http://schemas.microsoft.com/office/drawing/2014/chart" uri="{C3380CC4-5D6E-409C-BE32-E72D297353CC}">
              <c16:uniqueId val="{00000000-B951-4784-BC94-DEADAB2830A3}"/>
            </c:ext>
          </c:extLst>
        </c:ser>
        <c:ser>
          <c:idx val="1"/>
          <c:order val="1"/>
          <c:tx>
            <c:strRef>
              <c:f>'Pivot Tables'!$C$46:$C$47</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Tables'!$A$48:$A$51</c:f>
              <c:strCache>
                <c:ptCount val="3"/>
                <c:pt idx="0">
                  <c:v>Adolescent</c:v>
                </c:pt>
                <c:pt idx="1">
                  <c:v>Middle Age</c:v>
                </c:pt>
                <c:pt idx="2">
                  <c:v>OLD</c:v>
                </c:pt>
              </c:strCache>
            </c:strRef>
          </c:cat>
          <c:val>
            <c:numRef>
              <c:f>'Pivot Tables'!$C$48:$C$51</c:f>
              <c:numCache>
                <c:formatCode>General</c:formatCode>
                <c:ptCount val="3"/>
                <c:pt idx="0">
                  <c:v>41</c:v>
                </c:pt>
                <c:pt idx="1">
                  <c:v>328</c:v>
                </c:pt>
                <c:pt idx="2">
                  <c:v>126</c:v>
                </c:pt>
              </c:numCache>
            </c:numRef>
          </c:val>
          <c:smooth val="0"/>
          <c:extLst>
            <c:ext xmlns:c16="http://schemas.microsoft.com/office/drawing/2014/chart" uri="{C3380CC4-5D6E-409C-BE32-E72D297353CC}">
              <c16:uniqueId val="{00000001-B951-4784-BC94-DEADAB2830A3}"/>
            </c:ext>
          </c:extLst>
        </c:ser>
        <c:dLbls>
          <c:dLblPos val="ctr"/>
          <c:showLegendKey val="0"/>
          <c:showVal val="1"/>
          <c:showCatName val="0"/>
          <c:showSerName val="0"/>
          <c:showPercent val="0"/>
          <c:showBubbleSize val="0"/>
        </c:dLbls>
        <c:marker val="1"/>
        <c:smooth val="0"/>
        <c:axId val="774516175"/>
        <c:axId val="774517007"/>
      </c:lineChart>
      <c:catAx>
        <c:axId val="774516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Backets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4517007"/>
        <c:crosses val="autoZero"/>
        <c:auto val="1"/>
        <c:lblAlgn val="ctr"/>
        <c:lblOffset val="100"/>
        <c:noMultiLvlLbl val="0"/>
      </c:catAx>
      <c:valAx>
        <c:axId val="7745170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Purchased Bike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77451617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409575</xdr:colOff>
      <xdr:row>2</xdr:row>
      <xdr:rowOff>128587</xdr:rowOff>
    </xdr:from>
    <xdr:to>
      <xdr:col>12</xdr:col>
      <xdr:colOff>104775</xdr:colOff>
      <xdr:row>20</xdr:row>
      <xdr:rowOff>28575</xdr:rowOff>
    </xdr:to>
    <xdr:graphicFrame macro="">
      <xdr:nvGraphicFramePr>
        <xdr:cNvPr id="2" name="Chart 1">
          <a:extLst>
            <a:ext uri="{FF2B5EF4-FFF2-40B4-BE49-F238E27FC236}">
              <a16:creationId xmlns:a16="http://schemas.microsoft.com/office/drawing/2014/main" id="{086AD592-B8DE-4745-BBED-018498DCD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466725</xdr:colOff>
      <xdr:row>24</xdr:row>
      <xdr:rowOff>4761</xdr:rowOff>
    </xdr:from>
    <xdr:to>
      <xdr:col>12</xdr:col>
      <xdr:colOff>161925</xdr:colOff>
      <xdr:row>40</xdr:row>
      <xdr:rowOff>85724</xdr:rowOff>
    </xdr:to>
    <xdr:graphicFrame macro="">
      <xdr:nvGraphicFramePr>
        <xdr:cNvPr id="3" name="Chart 2">
          <a:extLst>
            <a:ext uri="{FF2B5EF4-FFF2-40B4-BE49-F238E27FC236}">
              <a16:creationId xmlns:a16="http://schemas.microsoft.com/office/drawing/2014/main" id="{DBBBDB3C-3CDA-4920-AD50-BD2C66D5F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42</xdr:row>
      <xdr:rowOff>61911</xdr:rowOff>
    </xdr:from>
    <xdr:to>
      <xdr:col>12</xdr:col>
      <xdr:colOff>161925</xdr:colOff>
      <xdr:row>57</xdr:row>
      <xdr:rowOff>104774</xdr:rowOff>
    </xdr:to>
    <xdr:graphicFrame macro="">
      <xdr:nvGraphicFramePr>
        <xdr:cNvPr id="5" name="Chart 4">
          <a:extLst>
            <a:ext uri="{FF2B5EF4-FFF2-40B4-BE49-F238E27FC236}">
              <a16:creationId xmlns:a16="http://schemas.microsoft.com/office/drawing/2014/main" id="{BC48725A-E5B9-4EF6-BC0F-1581D25D6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65</xdr:row>
      <xdr:rowOff>166687</xdr:rowOff>
    </xdr:from>
    <xdr:to>
      <xdr:col>13</xdr:col>
      <xdr:colOff>152400</xdr:colOff>
      <xdr:row>83</xdr:row>
      <xdr:rowOff>123825</xdr:rowOff>
    </xdr:to>
    <xdr:graphicFrame macro="">
      <xdr:nvGraphicFramePr>
        <xdr:cNvPr id="6" name="Chart 5">
          <a:extLst>
            <a:ext uri="{FF2B5EF4-FFF2-40B4-BE49-F238E27FC236}">
              <a16:creationId xmlns:a16="http://schemas.microsoft.com/office/drawing/2014/main" id="{B46CCFF7-FEA1-4BDE-9A7B-34BFC3169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391027</xdr:colOff>
      <xdr:row>8</xdr:row>
      <xdr:rowOff>184765</xdr:rowOff>
    </xdr:from>
    <xdr:to>
      <xdr:col>14</xdr:col>
      <xdr:colOff>601580</xdr:colOff>
      <xdr:row>25</xdr:row>
      <xdr:rowOff>100263</xdr:rowOff>
    </xdr:to>
    <xdr:graphicFrame macro="">
      <xdr:nvGraphicFramePr>
        <xdr:cNvPr id="2" name="Chart 1">
          <a:extLst>
            <a:ext uri="{FF2B5EF4-FFF2-40B4-BE49-F238E27FC236}">
              <a16:creationId xmlns:a16="http://schemas.microsoft.com/office/drawing/2014/main" id="{9D4DC25F-63D0-403A-AAC0-E4AA3C56C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8</xdr:row>
      <xdr:rowOff>184765</xdr:rowOff>
    </xdr:from>
    <xdr:to>
      <xdr:col>8</xdr:col>
      <xdr:colOff>370973</xdr:colOff>
      <xdr:row>25</xdr:row>
      <xdr:rowOff>110670</xdr:rowOff>
    </xdr:to>
    <xdr:graphicFrame macro="">
      <xdr:nvGraphicFramePr>
        <xdr:cNvPr id="3" name="Chart 2">
          <a:extLst>
            <a:ext uri="{FF2B5EF4-FFF2-40B4-BE49-F238E27FC236}">
              <a16:creationId xmlns:a16="http://schemas.microsoft.com/office/drawing/2014/main" id="{9AE94364-4A66-46C3-894B-0BE89D453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25</xdr:row>
      <xdr:rowOff>102400</xdr:rowOff>
    </xdr:from>
    <xdr:to>
      <xdr:col>14</xdr:col>
      <xdr:colOff>581814</xdr:colOff>
      <xdr:row>40</xdr:row>
      <xdr:rowOff>176058</xdr:rowOff>
    </xdr:to>
    <xdr:graphicFrame macro="">
      <xdr:nvGraphicFramePr>
        <xdr:cNvPr id="4" name="Chart 3">
          <a:extLst>
            <a:ext uri="{FF2B5EF4-FFF2-40B4-BE49-F238E27FC236}">
              <a16:creationId xmlns:a16="http://schemas.microsoft.com/office/drawing/2014/main" id="{A55629F5-4C20-45F2-A926-0ABBDAF7A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39604</xdr:colOff>
      <xdr:row>24</xdr:row>
      <xdr:rowOff>60158</xdr:rowOff>
    </xdr:from>
    <xdr:to>
      <xdr:col>18</xdr:col>
      <xdr:colOff>33588</xdr:colOff>
      <xdr:row>29</xdr:row>
      <xdr:rowOff>30080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45D527C7-5FC7-442C-A709-F015ED6599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224425" y="4725464"/>
              <a:ext cx="1830949" cy="941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34590</xdr:colOff>
      <xdr:row>15</xdr:row>
      <xdr:rowOff>25066</xdr:rowOff>
    </xdr:from>
    <xdr:to>
      <xdr:col>18</xdr:col>
      <xdr:colOff>28574</xdr:colOff>
      <xdr:row>24</xdr:row>
      <xdr:rowOff>40105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3E04E7A-B76F-41F7-886D-EFA61C97FF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219411" y="2940882"/>
              <a:ext cx="1830949" cy="1764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39603</xdr:colOff>
      <xdr:row>8</xdr:row>
      <xdr:rowOff>40106</xdr:rowOff>
    </xdr:from>
    <xdr:to>
      <xdr:col>18</xdr:col>
      <xdr:colOff>33587</xdr:colOff>
      <xdr:row>14</xdr:row>
      <xdr:rowOff>180474</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AFDC367B-AA39-4E53-BC9F-5CDC4A8AC7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224424" y="1595208"/>
              <a:ext cx="1830949" cy="1306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 refreshedDate="45070.024705324075" createdVersion="7" refreshedVersion="7" minRefreshableVersion="3" recordCount="1026" xr:uid="{2BF63326-46F0-4CD3-A06C-EA3788969B1C}">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3452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1"/>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1"/>
    <x v="1"/>
  </r>
  <r>
    <n v="12291"/>
    <x v="1"/>
    <x v="1"/>
    <n v="90000"/>
    <n v="5"/>
    <x v="1"/>
    <s v="Professional"/>
    <s v="No"/>
    <n v="2"/>
    <x v="1"/>
    <x v="0"/>
    <x v="24"/>
    <x v="1"/>
    <x v="1"/>
  </r>
  <r>
    <n v="28380"/>
    <x v="1"/>
    <x v="0"/>
    <n v="10000"/>
    <n v="5"/>
    <x v="3"/>
    <s v="Manual"/>
    <s v="No"/>
    <n v="2"/>
    <x v="0"/>
    <x v="0"/>
    <x v="3"/>
    <x v="0"/>
    <x v="0"/>
  </r>
  <r>
    <n v="17891"/>
    <x v="0"/>
    <x v="0"/>
    <n v="10000"/>
    <n v="2"/>
    <x v="1"/>
    <s v="Manual"/>
    <s v="Yes"/>
    <n v="1"/>
    <x v="0"/>
    <x v="0"/>
    <x v="5"/>
    <x v="1"/>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1"/>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1"/>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1"/>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1"/>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1"/>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1"/>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1"/>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1"/>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1"/>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1"/>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1"/>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1"/>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1"/>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1"/>
    <x v="0"/>
  </r>
  <r>
    <n v="18363"/>
    <x v="0"/>
    <x v="1"/>
    <n v="40000"/>
    <n v="0"/>
    <x v="2"/>
    <s v="Skilled Manual"/>
    <s v="Yes"/>
    <n v="2"/>
    <x v="2"/>
    <x v="2"/>
    <x v="26"/>
    <x v="2"/>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1"/>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1"/>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1"/>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1"/>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1"/>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r>
    <n v="13507"/>
    <x v="0"/>
    <x v="0"/>
    <n v="10000"/>
    <n v="2"/>
    <x v="1"/>
    <s v="Manual"/>
    <s v="Yes"/>
    <n v="0"/>
    <x v="3"/>
    <x v="0"/>
    <x v="5"/>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76746-CF14-49D6-B27B-ED73DABF4A32}"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7:D12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B8F60-4919-4BE8-84DA-9D8394DDF77F}"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C7EC83-0F84-49B9-A9AC-0EBF945B4BF1}"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16">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3FAF49-D232-4458-9AA9-00D384CBE592}"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7:D3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C3F9F42-9C5E-4CE5-8473-26789A7D1DF3}" sourceName="Marital status">
  <pivotTables>
    <pivotTable tabId="3" name="PivotTable1"/>
    <pivotTable tabId="3" name="PivotTable3"/>
    <pivotTable tabId="3" name="PivotTable4"/>
  </pivotTables>
  <data>
    <tabular pivotCacheId="1134525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A1D4833-EBCB-4C13-B7F3-1CE6D457C62F}" sourceName="Education">
  <pivotTables>
    <pivotTable tabId="3" name="PivotTable1"/>
    <pivotTable tabId="3" name="PivotTable2"/>
    <pivotTable tabId="3" name="PivotTable3"/>
    <pivotTable tabId="3" name="PivotTable4"/>
  </pivotTables>
  <data>
    <tabular pivotCacheId="113452563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04D71B-970A-4FFA-B217-282F9340D163}" sourceName="Region">
  <pivotTables>
    <pivotTable tabId="3" name="PivotTable1"/>
    <pivotTable tabId="3" name="PivotTable2"/>
    <pivotTable tabId="3" name="PivotTable3"/>
    <pivotTable tabId="3" name="PivotTable4"/>
  </pivotTables>
  <data>
    <tabular pivotCacheId="11345256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7DA69C7-BE74-4948-9CD0-5C47C77335E4}" cache="Slicer_Marital_status" caption="Marital status" rowHeight="241300"/>
  <slicer name="Education" xr10:uid="{5EE96C64-54CF-478A-81EB-FF674FAC41D6}" cache="Slicer_Education" caption="Education" rowHeight="241300"/>
  <slicer name="Region" xr10:uid="{A97E3A33-88C2-4C58-BF4E-F24044EA66B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6" sqref="B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1A4A-D94F-4428-89FA-5B43F86F8397}">
  <dimension ref="A1:N1027"/>
  <sheetViews>
    <sheetView workbookViewId="0">
      <selection activeCell="O12" sqref="O12"/>
    </sheetView>
  </sheetViews>
  <sheetFormatPr defaultColWidth="11.85546875" defaultRowHeight="15" x14ac:dyDescent="0.25"/>
  <cols>
    <col min="13" max="13" width="14.7109375" customWidth="1"/>
    <col min="14" max="14" width="15.42578125" customWidth="1"/>
  </cols>
  <sheetData>
    <row r="1" spans="1:14" x14ac:dyDescent="0.25">
      <c r="A1" t="s">
        <v>0</v>
      </c>
      <c r="B1" t="s">
        <v>38</v>
      </c>
      <c r="C1" t="s">
        <v>2</v>
      </c>
      <c r="D1" t="s">
        <v>3</v>
      </c>
      <c r="E1" t="s">
        <v>4</v>
      </c>
      <c r="F1" t="s">
        <v>5</v>
      </c>
      <c r="G1" t="s">
        <v>6</v>
      </c>
      <c r="H1" t="s">
        <v>7</v>
      </c>
      <c r="I1" t="s">
        <v>8</v>
      </c>
      <c r="J1" t="s">
        <v>9</v>
      </c>
      <c r="K1" t="s">
        <v>10</v>
      </c>
      <c r="L1" t="s">
        <v>11</v>
      </c>
      <c r="M1" t="s">
        <v>41</v>
      </c>
      <c r="N1" t="s">
        <v>12</v>
      </c>
    </row>
    <row r="2" spans="1:14" x14ac:dyDescent="0.25">
      <c r="A2">
        <v>12496</v>
      </c>
      <c r="B2" t="s">
        <v>36</v>
      </c>
      <c r="C2" t="s">
        <v>40</v>
      </c>
      <c r="D2" s="1">
        <v>40000</v>
      </c>
      <c r="E2">
        <v>1</v>
      </c>
      <c r="F2" t="s">
        <v>13</v>
      </c>
      <c r="G2" t="s">
        <v>14</v>
      </c>
      <c r="H2" t="s">
        <v>15</v>
      </c>
      <c r="I2">
        <v>0</v>
      </c>
      <c r="J2" t="s">
        <v>16</v>
      </c>
      <c r="K2" t="s">
        <v>17</v>
      </c>
      <c r="L2">
        <v>42</v>
      </c>
      <c r="M2" t="str">
        <f>IF(L2&gt;=50,"OLD",IF(L2 &gt;=31, "Middle Age",IF(L2&lt;31, "Adolescent","Invalid")))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IF(L3&gt;=50,"OLD",IF(L3 &gt;=31, "Middle Age",IF(L3&lt;31, "Adolescent","Invalid")))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40</v>
      </c>
      <c r="D7" s="1">
        <v>10000</v>
      </c>
      <c r="E7">
        <v>2</v>
      </c>
      <c r="F7" t="s">
        <v>19</v>
      </c>
      <c r="G7" t="s">
        <v>25</v>
      </c>
      <c r="H7" t="s">
        <v>15</v>
      </c>
      <c r="I7">
        <v>0</v>
      </c>
      <c r="J7" t="s">
        <v>26</v>
      </c>
      <c r="K7" t="s">
        <v>17</v>
      </c>
      <c r="L7">
        <v>50</v>
      </c>
      <c r="M7" t="str">
        <f t="shared" si="0"/>
        <v>OLD</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40</v>
      </c>
      <c r="D12" s="1">
        <v>30000</v>
      </c>
      <c r="E12">
        <v>3</v>
      </c>
      <c r="F12" t="s">
        <v>27</v>
      </c>
      <c r="G12" t="s">
        <v>14</v>
      </c>
      <c r="H12" t="s">
        <v>18</v>
      </c>
      <c r="I12">
        <v>2</v>
      </c>
      <c r="J12" t="s">
        <v>26</v>
      </c>
      <c r="K12" t="s">
        <v>24</v>
      </c>
      <c r="L12">
        <v>54</v>
      </c>
      <c r="M12" t="str">
        <f t="shared" si="0"/>
        <v>OLD</v>
      </c>
      <c r="N12" t="s">
        <v>15</v>
      </c>
    </row>
    <row r="13" spans="1:14" x14ac:dyDescent="0.25">
      <c r="A13">
        <v>12697</v>
      </c>
      <c r="B13" t="s">
        <v>37</v>
      </c>
      <c r="C13" t="s">
        <v>40</v>
      </c>
      <c r="D13" s="1">
        <v>90000</v>
      </c>
      <c r="E13">
        <v>0</v>
      </c>
      <c r="F13" t="s">
        <v>13</v>
      </c>
      <c r="G13" t="s">
        <v>21</v>
      </c>
      <c r="H13" t="s">
        <v>18</v>
      </c>
      <c r="I13">
        <v>4</v>
      </c>
      <c r="J13" t="s">
        <v>47</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40</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40</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40</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40</v>
      </c>
      <c r="D23" s="1">
        <v>80000</v>
      </c>
      <c r="E23">
        <v>0</v>
      </c>
      <c r="F23" t="s">
        <v>13</v>
      </c>
      <c r="G23" t="s">
        <v>21</v>
      </c>
      <c r="H23" t="s">
        <v>15</v>
      </c>
      <c r="I23">
        <v>4</v>
      </c>
      <c r="J23" t="s">
        <v>47</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40</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40</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40</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40</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40</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OLD</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40</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40</v>
      </c>
      <c r="D38" s="1">
        <v>10000</v>
      </c>
      <c r="E38">
        <v>2</v>
      </c>
      <c r="F38" t="s">
        <v>19</v>
      </c>
      <c r="G38" t="s">
        <v>25</v>
      </c>
      <c r="H38" t="s">
        <v>15</v>
      </c>
      <c r="I38">
        <v>1</v>
      </c>
      <c r="J38" t="s">
        <v>16</v>
      </c>
      <c r="K38" t="s">
        <v>17</v>
      </c>
      <c r="L38">
        <v>50</v>
      </c>
      <c r="M38" t="str">
        <f t="shared" si="0"/>
        <v>OLD</v>
      </c>
      <c r="N38" t="s">
        <v>15</v>
      </c>
    </row>
    <row r="39" spans="1:14" x14ac:dyDescent="0.25">
      <c r="A39">
        <v>27832</v>
      </c>
      <c r="B39" t="s">
        <v>37</v>
      </c>
      <c r="C39" t="s">
        <v>40</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40</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40</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40</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40</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40</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40</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40</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40</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40</v>
      </c>
      <c r="D49" s="1">
        <v>40000</v>
      </c>
      <c r="E49">
        <v>2</v>
      </c>
      <c r="F49" t="s">
        <v>19</v>
      </c>
      <c r="G49" t="s">
        <v>14</v>
      </c>
      <c r="H49" t="s">
        <v>15</v>
      </c>
      <c r="I49">
        <v>2</v>
      </c>
      <c r="J49" t="s">
        <v>23</v>
      </c>
      <c r="K49" t="s">
        <v>24</v>
      </c>
      <c r="L49">
        <v>52</v>
      </c>
      <c r="M49" t="str">
        <f t="shared" si="0"/>
        <v>OLD</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40</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25">
      <c r="A54">
        <v>12558</v>
      </c>
      <c r="B54" t="s">
        <v>36</v>
      </c>
      <c r="C54" t="s">
        <v>40</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40</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40</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47</v>
      </c>
      <c r="K57" t="s">
        <v>17</v>
      </c>
      <c r="L57">
        <v>54</v>
      </c>
      <c r="M57" t="str">
        <f t="shared" si="0"/>
        <v>OLD</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40</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40</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40</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OLD</v>
      </c>
      <c r="N64" t="s">
        <v>15</v>
      </c>
    </row>
    <row r="65" spans="1:14" x14ac:dyDescent="0.25">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25">
      <c r="A66">
        <v>14927</v>
      </c>
      <c r="B66" t="s">
        <v>36</v>
      </c>
      <c r="C66" t="s">
        <v>40</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IF(L67&gt;=50,"OLD",IF(L67 &gt;=31, "Middle Age",IF(L67&lt;31, "Adolescent","Invalid")))</f>
        <v>OLD</v>
      </c>
      <c r="N67" t="s">
        <v>18</v>
      </c>
    </row>
    <row r="68" spans="1:14" x14ac:dyDescent="0.25">
      <c r="A68">
        <v>29355</v>
      </c>
      <c r="B68" t="s">
        <v>36</v>
      </c>
      <c r="C68" t="s">
        <v>40</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40</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40</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25">
      <c r="A73">
        <v>16200</v>
      </c>
      <c r="B73" t="s">
        <v>37</v>
      </c>
      <c r="C73" t="s">
        <v>40</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40</v>
      </c>
      <c r="D74" s="1">
        <v>130000</v>
      </c>
      <c r="E74">
        <v>3</v>
      </c>
      <c r="F74" t="s">
        <v>27</v>
      </c>
      <c r="G74" t="s">
        <v>21</v>
      </c>
      <c r="H74" t="s">
        <v>15</v>
      </c>
      <c r="I74">
        <v>4</v>
      </c>
      <c r="J74" t="s">
        <v>16</v>
      </c>
      <c r="K74" t="s">
        <v>17</v>
      </c>
      <c r="L74">
        <v>52</v>
      </c>
      <c r="M74" t="str">
        <f t="shared" si="1"/>
        <v>OLD</v>
      </c>
      <c r="N74" t="s">
        <v>18</v>
      </c>
    </row>
    <row r="75" spans="1:14" x14ac:dyDescent="0.25">
      <c r="A75">
        <v>26956</v>
      </c>
      <c r="B75" t="s">
        <v>37</v>
      </c>
      <c r="C75" t="s">
        <v>40</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40</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40</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40</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47</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OLD</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40</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40</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OLD</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OLD</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40</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40</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40</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40</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40</v>
      </c>
      <c r="D97" s="1">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40</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40</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40</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OLD</v>
      </c>
      <c r="N108" t="s">
        <v>15</v>
      </c>
    </row>
    <row r="109" spans="1:14" x14ac:dyDescent="0.25">
      <c r="A109">
        <v>27494</v>
      </c>
      <c r="B109" t="s">
        <v>37</v>
      </c>
      <c r="C109" t="s">
        <v>40</v>
      </c>
      <c r="D109" s="1">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40</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40</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40</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40</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40</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40</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40</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40</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40</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40</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40</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40</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OLD</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IF(L131&gt;=50,"OLD",IF(L131 &gt;=31, "Middle Age",IF(L131&lt;31, "Adolescent","Invalid")))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40</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OLD</v>
      </c>
      <c r="N137" t="s">
        <v>18</v>
      </c>
    </row>
    <row r="138" spans="1:14" x14ac:dyDescent="0.25">
      <c r="A138">
        <v>28683</v>
      </c>
      <c r="B138" t="s">
        <v>37</v>
      </c>
      <c r="C138" t="s">
        <v>40</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40</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40</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40</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40</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40</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40</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40</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40</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40</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OLD</v>
      </c>
      <c r="N159" t="s">
        <v>18</v>
      </c>
    </row>
    <row r="160" spans="1:14" x14ac:dyDescent="0.25">
      <c r="A160">
        <v>25605</v>
      </c>
      <c r="B160" t="s">
        <v>37</v>
      </c>
      <c r="C160" t="s">
        <v>40</v>
      </c>
      <c r="D160" s="1">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40</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40</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40</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40</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OLD</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40</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40</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40</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40</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40</v>
      </c>
      <c r="D177" s="1">
        <v>80000</v>
      </c>
      <c r="E177">
        <v>2</v>
      </c>
      <c r="F177" t="s">
        <v>19</v>
      </c>
      <c r="G177" t="s">
        <v>14</v>
      </c>
      <c r="H177" t="s">
        <v>15</v>
      </c>
      <c r="I177">
        <v>2</v>
      </c>
      <c r="J177" t="s">
        <v>23</v>
      </c>
      <c r="K177" t="s">
        <v>24</v>
      </c>
      <c r="L177">
        <v>52</v>
      </c>
      <c r="M177" t="str">
        <f t="shared" si="2"/>
        <v>OLD</v>
      </c>
      <c r="N177" t="s">
        <v>15</v>
      </c>
    </row>
    <row r="178" spans="1:14" x14ac:dyDescent="0.25">
      <c r="A178">
        <v>12253</v>
      </c>
      <c r="B178" t="s">
        <v>37</v>
      </c>
      <c r="C178" t="s">
        <v>40</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40</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40</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40</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40</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40</v>
      </c>
      <c r="D186" s="1">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40</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40</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40</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40</v>
      </c>
      <c r="D194" s="1">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40</v>
      </c>
      <c r="D195" s="1">
        <v>70000</v>
      </c>
      <c r="E195">
        <v>5</v>
      </c>
      <c r="F195" t="s">
        <v>13</v>
      </c>
      <c r="G195" t="s">
        <v>21</v>
      </c>
      <c r="H195" t="s">
        <v>15</v>
      </c>
      <c r="I195">
        <v>4</v>
      </c>
      <c r="J195" t="s">
        <v>47</v>
      </c>
      <c r="K195" t="s">
        <v>24</v>
      </c>
      <c r="L195">
        <v>41</v>
      </c>
      <c r="M195" t="str">
        <f t="shared" ref="M195:M258" si="3">IF(L195&gt;=50,"OLD",IF(L195 &gt;=31, "Middle Age",IF(L195&lt;31, "Adolescent","Invalid")))</f>
        <v>Middle Age</v>
      </c>
      <c r="N195" t="s">
        <v>18</v>
      </c>
    </row>
    <row r="196" spans="1:14" x14ac:dyDescent="0.25">
      <c r="A196">
        <v>17843</v>
      </c>
      <c r="B196" t="s">
        <v>37</v>
      </c>
      <c r="C196" t="s">
        <v>40</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40</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40</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40</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40</v>
      </c>
      <c r="D206" s="1">
        <v>90000</v>
      </c>
      <c r="E206">
        <v>3</v>
      </c>
      <c r="F206" t="s">
        <v>27</v>
      </c>
      <c r="G206" t="s">
        <v>21</v>
      </c>
      <c r="H206" t="s">
        <v>18</v>
      </c>
      <c r="I206">
        <v>1</v>
      </c>
      <c r="J206" t="s">
        <v>22</v>
      </c>
      <c r="K206" t="s">
        <v>17</v>
      </c>
      <c r="L206">
        <v>51</v>
      </c>
      <c r="M206" t="str">
        <f t="shared" si="3"/>
        <v>OLD</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40</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40</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40</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40</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40</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40</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40</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40</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40</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40</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40</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40</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40</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40</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40</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40</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40</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40</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40</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40</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40</v>
      </c>
      <c r="D246" s="1">
        <v>120000</v>
      </c>
      <c r="E246">
        <v>3</v>
      </c>
      <c r="F246" t="s">
        <v>13</v>
      </c>
      <c r="G246" t="s">
        <v>28</v>
      </c>
      <c r="H246" t="s">
        <v>18</v>
      </c>
      <c r="I246">
        <v>2</v>
      </c>
      <c r="J246" t="s">
        <v>47</v>
      </c>
      <c r="K246" t="s">
        <v>17</v>
      </c>
      <c r="L246">
        <v>52</v>
      </c>
      <c r="M246" t="str">
        <f t="shared" si="3"/>
        <v>OLD</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40</v>
      </c>
      <c r="D248" s="1">
        <v>130000</v>
      </c>
      <c r="E248">
        <v>3</v>
      </c>
      <c r="F248" t="s">
        <v>19</v>
      </c>
      <c r="G248" t="s">
        <v>21</v>
      </c>
      <c r="H248" t="s">
        <v>15</v>
      </c>
      <c r="I248">
        <v>3</v>
      </c>
      <c r="J248" t="s">
        <v>16</v>
      </c>
      <c r="K248" t="s">
        <v>17</v>
      </c>
      <c r="L248">
        <v>51</v>
      </c>
      <c r="M248" t="str">
        <f t="shared" si="3"/>
        <v>OLD</v>
      </c>
      <c r="N248" t="s">
        <v>15</v>
      </c>
    </row>
    <row r="249" spans="1:14" x14ac:dyDescent="0.25">
      <c r="A249">
        <v>21568</v>
      </c>
      <c r="B249" t="s">
        <v>36</v>
      </c>
      <c r="C249" t="s">
        <v>40</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40</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40</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40</v>
      </c>
      <c r="D259" s="1">
        <v>50000</v>
      </c>
      <c r="E259">
        <v>0</v>
      </c>
      <c r="F259" t="s">
        <v>31</v>
      </c>
      <c r="G259" t="s">
        <v>14</v>
      </c>
      <c r="H259" t="s">
        <v>15</v>
      </c>
      <c r="I259">
        <v>0</v>
      </c>
      <c r="J259" t="s">
        <v>16</v>
      </c>
      <c r="K259" t="s">
        <v>17</v>
      </c>
      <c r="L259">
        <v>36</v>
      </c>
      <c r="M259" t="str">
        <f t="shared" ref="M259:M322" si="4">IF(L259&gt;=50,"OLD",IF(L259 &gt;=31, "Middle Age",IF(L259&lt;31, "Adolescent","Invalid")))</f>
        <v>Middle Age</v>
      </c>
      <c r="N259" t="s">
        <v>15</v>
      </c>
    </row>
    <row r="260" spans="1:14" x14ac:dyDescent="0.25">
      <c r="A260">
        <v>14193</v>
      </c>
      <c r="B260" t="s">
        <v>37</v>
      </c>
      <c r="C260" t="s">
        <v>40</v>
      </c>
      <c r="D260" s="1">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40</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40</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40</v>
      </c>
      <c r="D264" s="1">
        <v>10000</v>
      </c>
      <c r="E264">
        <v>2</v>
      </c>
      <c r="F264" t="s">
        <v>19</v>
      </c>
      <c r="G264" t="s">
        <v>25</v>
      </c>
      <c r="H264" t="s">
        <v>15</v>
      </c>
      <c r="I264">
        <v>0</v>
      </c>
      <c r="J264" t="s">
        <v>26</v>
      </c>
      <c r="K264" t="s">
        <v>17</v>
      </c>
      <c r="L264">
        <v>51</v>
      </c>
      <c r="M264" t="str">
        <f t="shared" si="4"/>
        <v>OLD</v>
      </c>
      <c r="N264" t="s">
        <v>18</v>
      </c>
    </row>
    <row r="265" spans="1:14" x14ac:dyDescent="0.25">
      <c r="A265">
        <v>23419</v>
      </c>
      <c r="B265" t="s">
        <v>37</v>
      </c>
      <c r="C265" t="s">
        <v>40</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40</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40</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40</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40</v>
      </c>
      <c r="D272" s="1">
        <v>10000</v>
      </c>
      <c r="E272">
        <v>2</v>
      </c>
      <c r="F272" t="s">
        <v>19</v>
      </c>
      <c r="G272" t="s">
        <v>25</v>
      </c>
      <c r="H272" t="s">
        <v>15</v>
      </c>
      <c r="I272">
        <v>0</v>
      </c>
      <c r="J272" t="s">
        <v>16</v>
      </c>
      <c r="K272" t="s">
        <v>17</v>
      </c>
      <c r="L272">
        <v>51</v>
      </c>
      <c r="M272" t="str">
        <f t="shared" si="4"/>
        <v>OLD</v>
      </c>
      <c r="N272" t="s">
        <v>15</v>
      </c>
    </row>
    <row r="273" spans="1:14" x14ac:dyDescent="0.25">
      <c r="A273">
        <v>25665</v>
      </c>
      <c r="B273" t="s">
        <v>37</v>
      </c>
      <c r="C273" t="s">
        <v>40</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40</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40</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40</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40</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40</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40</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40</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40</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40</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40</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40</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40</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40</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40</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40</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40</v>
      </c>
      <c r="D300" s="1">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40</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40</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40</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40</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40</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OLD</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47</v>
      </c>
      <c r="K320" t="s">
        <v>17</v>
      </c>
      <c r="L320">
        <v>54</v>
      </c>
      <c r="M320" t="str">
        <f t="shared" si="4"/>
        <v>OLD</v>
      </c>
      <c r="N320" t="s">
        <v>18</v>
      </c>
    </row>
    <row r="321" spans="1:14" x14ac:dyDescent="0.25">
      <c r="A321">
        <v>11386</v>
      </c>
      <c r="B321" t="s">
        <v>36</v>
      </c>
      <c r="C321" t="s">
        <v>40</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40</v>
      </c>
      <c r="D323" s="1">
        <v>160000</v>
      </c>
      <c r="E323">
        <v>0</v>
      </c>
      <c r="F323" t="s">
        <v>31</v>
      </c>
      <c r="G323" t="s">
        <v>28</v>
      </c>
      <c r="H323" t="s">
        <v>18</v>
      </c>
      <c r="I323">
        <v>3</v>
      </c>
      <c r="J323" t="s">
        <v>16</v>
      </c>
      <c r="K323" t="s">
        <v>24</v>
      </c>
      <c r="L323">
        <v>47</v>
      </c>
      <c r="M323" t="str">
        <f t="shared" ref="M323:M386" si="5">IF(L323&gt;=50,"OLD",IF(L323 &gt;=31, "Middle Age",IF(L323&lt;31, "Adolescent","Invalid")))</f>
        <v>Middle Age</v>
      </c>
      <c r="N323" t="s">
        <v>15</v>
      </c>
    </row>
    <row r="324" spans="1:14" x14ac:dyDescent="0.25">
      <c r="A324">
        <v>16410</v>
      </c>
      <c r="B324" t="s">
        <v>37</v>
      </c>
      <c r="C324" t="s">
        <v>40</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40</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40</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40</v>
      </c>
      <c r="D331" s="1">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40</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40</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OLD</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40</v>
      </c>
      <c r="D340" s="1">
        <v>120000</v>
      </c>
      <c r="E340">
        <v>3</v>
      </c>
      <c r="F340" t="s">
        <v>27</v>
      </c>
      <c r="G340" t="s">
        <v>21</v>
      </c>
      <c r="H340" t="s">
        <v>15</v>
      </c>
      <c r="I340">
        <v>4</v>
      </c>
      <c r="J340" t="s">
        <v>23</v>
      </c>
      <c r="K340" t="s">
        <v>17</v>
      </c>
      <c r="L340">
        <v>50</v>
      </c>
      <c r="M340" t="str">
        <f t="shared" si="5"/>
        <v>OLD</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40</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40</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40</v>
      </c>
      <c r="D347" s="1">
        <v>20000</v>
      </c>
      <c r="E347">
        <v>1</v>
      </c>
      <c r="F347" t="s">
        <v>13</v>
      </c>
      <c r="G347" t="s">
        <v>20</v>
      </c>
      <c r="H347" t="s">
        <v>15</v>
      </c>
      <c r="I347">
        <v>0</v>
      </c>
      <c r="J347" t="s">
        <v>16</v>
      </c>
      <c r="K347" t="s">
        <v>17</v>
      </c>
      <c r="L347">
        <v>50</v>
      </c>
      <c r="M347" t="str">
        <f t="shared" si="5"/>
        <v>OLD</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40</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40</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40</v>
      </c>
      <c r="D354" s="1">
        <v>80000</v>
      </c>
      <c r="E354">
        <v>4</v>
      </c>
      <c r="F354" t="s">
        <v>19</v>
      </c>
      <c r="G354" t="s">
        <v>21</v>
      </c>
      <c r="H354" t="s">
        <v>15</v>
      </c>
      <c r="I354">
        <v>2</v>
      </c>
      <c r="J354" t="s">
        <v>22</v>
      </c>
      <c r="K354" t="s">
        <v>17</v>
      </c>
      <c r="L354">
        <v>53</v>
      </c>
      <c r="M354" t="str">
        <f t="shared" si="5"/>
        <v>OLD</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40</v>
      </c>
      <c r="D358" s="1">
        <v>150000</v>
      </c>
      <c r="E358">
        <v>3</v>
      </c>
      <c r="F358" t="s">
        <v>27</v>
      </c>
      <c r="G358" t="s">
        <v>21</v>
      </c>
      <c r="H358" t="s">
        <v>15</v>
      </c>
      <c r="I358">
        <v>3</v>
      </c>
      <c r="J358" t="s">
        <v>16</v>
      </c>
      <c r="K358" t="s">
        <v>17</v>
      </c>
      <c r="L358">
        <v>51</v>
      </c>
      <c r="M358" t="str">
        <f t="shared" si="5"/>
        <v>OLD</v>
      </c>
      <c r="N358" t="s">
        <v>15</v>
      </c>
    </row>
    <row r="359" spans="1:14" x14ac:dyDescent="0.25">
      <c r="A359">
        <v>22538</v>
      </c>
      <c r="B359" t="s">
        <v>37</v>
      </c>
      <c r="C359" t="s">
        <v>40</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40</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40</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40</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40</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40</v>
      </c>
      <c r="D369" s="1">
        <v>130000</v>
      </c>
      <c r="E369">
        <v>3</v>
      </c>
      <c r="F369" t="s">
        <v>19</v>
      </c>
      <c r="G369" t="s">
        <v>21</v>
      </c>
      <c r="H369" t="s">
        <v>15</v>
      </c>
      <c r="I369">
        <v>3</v>
      </c>
      <c r="J369" t="s">
        <v>23</v>
      </c>
      <c r="K369" t="s">
        <v>17</v>
      </c>
      <c r="L369">
        <v>50</v>
      </c>
      <c r="M369" t="str">
        <f t="shared" si="5"/>
        <v>OLD</v>
      </c>
      <c r="N369" t="s">
        <v>15</v>
      </c>
    </row>
    <row r="370" spans="1:14" x14ac:dyDescent="0.25">
      <c r="A370">
        <v>25918</v>
      </c>
      <c r="B370" t="s">
        <v>37</v>
      </c>
      <c r="C370" t="s">
        <v>40</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40</v>
      </c>
      <c r="D371" s="1">
        <v>20000</v>
      </c>
      <c r="E371">
        <v>2</v>
      </c>
      <c r="F371" t="s">
        <v>19</v>
      </c>
      <c r="G371" t="s">
        <v>25</v>
      </c>
      <c r="H371" t="s">
        <v>18</v>
      </c>
      <c r="I371">
        <v>1</v>
      </c>
      <c r="J371" t="s">
        <v>16</v>
      </c>
      <c r="K371" t="s">
        <v>17</v>
      </c>
      <c r="L371">
        <v>53</v>
      </c>
      <c r="M371" t="str">
        <f t="shared" si="5"/>
        <v>OLD</v>
      </c>
      <c r="N371" t="s">
        <v>15</v>
      </c>
    </row>
    <row r="372" spans="1:14" x14ac:dyDescent="0.25">
      <c r="A372">
        <v>17324</v>
      </c>
      <c r="B372" t="s">
        <v>36</v>
      </c>
      <c r="C372" t="s">
        <v>40</v>
      </c>
      <c r="D372" s="1">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OLD</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40</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40</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OLD</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40</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47</v>
      </c>
      <c r="K384" t="s">
        <v>17</v>
      </c>
      <c r="L384">
        <v>53</v>
      </c>
      <c r="M384" t="str">
        <f t="shared" si="5"/>
        <v>OLD</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40</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IF(L387&gt;=50,"OLD",IF(L387 &gt;=31, "Middle Age",IF(L387&lt;31, "Adolescent","Invalid")))</f>
        <v>Middle Age</v>
      </c>
      <c r="N387" t="s">
        <v>18</v>
      </c>
    </row>
    <row r="388" spans="1:14" x14ac:dyDescent="0.25">
      <c r="A388">
        <v>28957</v>
      </c>
      <c r="B388" t="s">
        <v>37</v>
      </c>
      <c r="C388" t="s">
        <v>40</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40</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40</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40</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40</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OLD</v>
      </c>
      <c r="N394" t="s">
        <v>18</v>
      </c>
    </row>
    <row r="395" spans="1:14" x14ac:dyDescent="0.25">
      <c r="A395">
        <v>23962</v>
      </c>
      <c r="B395" t="s">
        <v>36</v>
      </c>
      <c r="C395" t="s">
        <v>40</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40</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40</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40</v>
      </c>
      <c r="D401" s="1">
        <v>40000</v>
      </c>
      <c r="E401">
        <v>2</v>
      </c>
      <c r="F401" t="s">
        <v>13</v>
      </c>
      <c r="G401" t="s">
        <v>28</v>
      </c>
      <c r="H401" t="s">
        <v>18</v>
      </c>
      <c r="I401">
        <v>1</v>
      </c>
      <c r="J401" t="s">
        <v>23</v>
      </c>
      <c r="K401" t="s">
        <v>24</v>
      </c>
      <c r="L401">
        <v>53</v>
      </c>
      <c r="M401" t="str">
        <f t="shared" si="6"/>
        <v>OLD</v>
      </c>
      <c r="N401" t="s">
        <v>15</v>
      </c>
    </row>
    <row r="402" spans="1:14" x14ac:dyDescent="0.25">
      <c r="A402">
        <v>25792</v>
      </c>
      <c r="B402" t="s">
        <v>37</v>
      </c>
      <c r="C402" t="s">
        <v>40</v>
      </c>
      <c r="D402" s="1">
        <v>110000</v>
      </c>
      <c r="E402">
        <v>3</v>
      </c>
      <c r="F402" t="s">
        <v>13</v>
      </c>
      <c r="G402" t="s">
        <v>28</v>
      </c>
      <c r="H402" t="s">
        <v>15</v>
      </c>
      <c r="I402">
        <v>4</v>
      </c>
      <c r="J402" t="s">
        <v>47</v>
      </c>
      <c r="K402" t="s">
        <v>17</v>
      </c>
      <c r="L402">
        <v>53</v>
      </c>
      <c r="M402" t="str">
        <f t="shared" si="6"/>
        <v>OLD</v>
      </c>
      <c r="N402" t="s">
        <v>18</v>
      </c>
    </row>
    <row r="403" spans="1:14" x14ac:dyDescent="0.25">
      <c r="A403">
        <v>11555</v>
      </c>
      <c r="B403" t="s">
        <v>36</v>
      </c>
      <c r="C403" t="s">
        <v>40</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40</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40</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40</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40</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40</v>
      </c>
      <c r="D411" s="1">
        <v>130000</v>
      </c>
      <c r="E411">
        <v>3</v>
      </c>
      <c r="F411" t="s">
        <v>19</v>
      </c>
      <c r="G411" t="s">
        <v>21</v>
      </c>
      <c r="H411" t="s">
        <v>15</v>
      </c>
      <c r="I411">
        <v>4</v>
      </c>
      <c r="J411" t="s">
        <v>16</v>
      </c>
      <c r="K411" t="s">
        <v>17</v>
      </c>
      <c r="L411">
        <v>52</v>
      </c>
      <c r="M411" t="str">
        <f t="shared" si="6"/>
        <v>OLD</v>
      </c>
      <c r="N411" t="s">
        <v>18</v>
      </c>
    </row>
    <row r="412" spans="1:14" x14ac:dyDescent="0.25">
      <c r="A412">
        <v>20171</v>
      </c>
      <c r="B412" t="s">
        <v>36</v>
      </c>
      <c r="C412" t="s">
        <v>40</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40</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40</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40</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40</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OLD</v>
      </c>
      <c r="N421" t="s">
        <v>15</v>
      </c>
    </row>
    <row r="422" spans="1:14" x14ac:dyDescent="0.25">
      <c r="A422">
        <v>18153</v>
      </c>
      <c r="B422" t="s">
        <v>36</v>
      </c>
      <c r="C422" t="s">
        <v>40</v>
      </c>
      <c r="D422" s="1">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OLD</v>
      </c>
      <c r="N423" t="s">
        <v>18</v>
      </c>
    </row>
    <row r="424" spans="1:14" x14ac:dyDescent="0.25">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40</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40</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40</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40</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40</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40</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40</v>
      </c>
      <c r="D436" s="1">
        <v>30000</v>
      </c>
      <c r="E436">
        <v>3</v>
      </c>
      <c r="F436" t="s">
        <v>27</v>
      </c>
      <c r="G436" t="s">
        <v>14</v>
      </c>
      <c r="H436" t="s">
        <v>15</v>
      </c>
      <c r="I436">
        <v>2</v>
      </c>
      <c r="J436" t="s">
        <v>23</v>
      </c>
      <c r="K436" t="s">
        <v>24</v>
      </c>
      <c r="L436">
        <v>53</v>
      </c>
      <c r="M436" t="str">
        <f t="shared" si="6"/>
        <v>OLD</v>
      </c>
      <c r="N436" t="s">
        <v>15</v>
      </c>
    </row>
    <row r="437" spans="1:14" x14ac:dyDescent="0.25">
      <c r="A437">
        <v>29447</v>
      </c>
      <c r="B437" t="s">
        <v>37</v>
      </c>
      <c r="C437" t="s">
        <v>40</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40</v>
      </c>
      <c r="D438" s="1">
        <v>80000</v>
      </c>
      <c r="E438">
        <v>2</v>
      </c>
      <c r="F438" t="s">
        <v>27</v>
      </c>
      <c r="G438" t="s">
        <v>14</v>
      </c>
      <c r="H438" t="s">
        <v>15</v>
      </c>
      <c r="I438">
        <v>2</v>
      </c>
      <c r="J438" t="s">
        <v>23</v>
      </c>
      <c r="K438" t="s">
        <v>24</v>
      </c>
      <c r="L438">
        <v>50</v>
      </c>
      <c r="M438" t="str">
        <f t="shared" si="6"/>
        <v>OLD</v>
      </c>
      <c r="N438" t="s">
        <v>15</v>
      </c>
    </row>
    <row r="439" spans="1:14" x14ac:dyDescent="0.25">
      <c r="A439">
        <v>27824</v>
      </c>
      <c r="B439" t="s">
        <v>37</v>
      </c>
      <c r="C439" t="s">
        <v>40</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40</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OLD</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40</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40</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40</v>
      </c>
      <c r="D448" s="1">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40</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40</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40</v>
      </c>
      <c r="D451" s="1">
        <v>40000</v>
      </c>
      <c r="E451">
        <v>1</v>
      </c>
      <c r="F451" t="s">
        <v>13</v>
      </c>
      <c r="G451" t="s">
        <v>14</v>
      </c>
      <c r="H451" t="s">
        <v>15</v>
      </c>
      <c r="I451">
        <v>0</v>
      </c>
      <c r="J451" t="s">
        <v>16</v>
      </c>
      <c r="K451" t="s">
        <v>17</v>
      </c>
      <c r="L451">
        <v>42</v>
      </c>
      <c r="M451" t="str">
        <f t="shared" ref="M451:M514" si="7">IF(L451&gt;=50,"OLD",IF(L451 &gt;=31, "Middle Age",IF(L451&lt;31, "Adolescent","Invalid")))</f>
        <v>Middle Age</v>
      </c>
      <c r="N451" t="s">
        <v>18</v>
      </c>
    </row>
    <row r="452" spans="1:14" x14ac:dyDescent="0.25">
      <c r="A452">
        <v>16559</v>
      </c>
      <c r="B452" t="s">
        <v>37</v>
      </c>
      <c r="C452" t="s">
        <v>40</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40</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40</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40</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40</v>
      </c>
      <c r="D457" s="1">
        <v>80000</v>
      </c>
      <c r="E457">
        <v>4</v>
      </c>
      <c r="F457" t="s">
        <v>19</v>
      </c>
      <c r="G457" t="s">
        <v>21</v>
      </c>
      <c r="H457" t="s">
        <v>18</v>
      </c>
      <c r="I457">
        <v>1</v>
      </c>
      <c r="J457" t="s">
        <v>22</v>
      </c>
      <c r="K457" t="s">
        <v>17</v>
      </c>
      <c r="L457">
        <v>53</v>
      </c>
      <c r="M457" t="str">
        <f t="shared" si="7"/>
        <v>OLD</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OLD</v>
      </c>
      <c r="N458" t="s">
        <v>18</v>
      </c>
    </row>
    <row r="459" spans="1:14" x14ac:dyDescent="0.25">
      <c r="A459">
        <v>12236</v>
      </c>
      <c r="B459" t="s">
        <v>36</v>
      </c>
      <c r="C459" t="s">
        <v>40</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40</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40</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40</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40</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40</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40</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40</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40</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40</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40</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40</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OLD</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40</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40</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40</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40</v>
      </c>
      <c r="D488" s="1">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40</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40</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OLD</v>
      </c>
      <c r="N496" t="s">
        <v>18</v>
      </c>
    </row>
    <row r="497" spans="1:14" x14ac:dyDescent="0.25">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40</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40</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40</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40</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40</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40</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40</v>
      </c>
      <c r="D509" s="1">
        <v>40000</v>
      </c>
      <c r="E509">
        <v>1</v>
      </c>
      <c r="F509" t="s">
        <v>19</v>
      </c>
      <c r="G509" t="s">
        <v>20</v>
      </c>
      <c r="H509" t="s">
        <v>15</v>
      </c>
      <c r="I509">
        <v>1</v>
      </c>
      <c r="J509" t="s">
        <v>26</v>
      </c>
      <c r="K509" t="s">
        <v>32</v>
      </c>
      <c r="L509">
        <v>51</v>
      </c>
      <c r="M509" t="str">
        <f t="shared" si="7"/>
        <v>OLD</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40</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40</v>
      </c>
      <c r="D515" s="1">
        <v>60000</v>
      </c>
      <c r="E515">
        <v>4</v>
      </c>
      <c r="F515" t="s">
        <v>31</v>
      </c>
      <c r="G515" t="s">
        <v>28</v>
      </c>
      <c r="H515" t="s">
        <v>15</v>
      </c>
      <c r="I515">
        <v>2</v>
      </c>
      <c r="J515" t="s">
        <v>47</v>
      </c>
      <c r="K515" t="s">
        <v>32</v>
      </c>
      <c r="L515">
        <v>61</v>
      </c>
      <c r="M515" t="str">
        <f t="shared" ref="M515:M578" si="8">IF(L515&gt;=50,"OLD",IF(L515 &gt;=31, "Middle Age",IF(L515&lt;31, "Adolescent","Invalid")))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40</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40</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40</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40</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40</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40</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40</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40</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40</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40</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40</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40</v>
      </c>
      <c r="D542" s="1">
        <v>70000</v>
      </c>
      <c r="E542">
        <v>3</v>
      </c>
      <c r="F542" t="s">
        <v>31</v>
      </c>
      <c r="G542" t="s">
        <v>28</v>
      </c>
      <c r="H542" t="s">
        <v>15</v>
      </c>
      <c r="I542">
        <v>2</v>
      </c>
      <c r="J542" t="s">
        <v>26</v>
      </c>
      <c r="K542" t="s">
        <v>32</v>
      </c>
      <c r="L542">
        <v>52</v>
      </c>
      <c r="M542" t="str">
        <f t="shared" si="8"/>
        <v>OLD</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40</v>
      </c>
      <c r="D545" s="1">
        <v>70000</v>
      </c>
      <c r="E545">
        <v>2</v>
      </c>
      <c r="F545" t="s">
        <v>27</v>
      </c>
      <c r="G545" t="s">
        <v>21</v>
      </c>
      <c r="H545" t="s">
        <v>15</v>
      </c>
      <c r="I545">
        <v>2</v>
      </c>
      <c r="J545" t="s">
        <v>22</v>
      </c>
      <c r="K545" t="s">
        <v>32</v>
      </c>
      <c r="L545">
        <v>53</v>
      </c>
      <c r="M545" t="str">
        <f t="shared" si="8"/>
        <v>OLD</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40</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40</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40</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40</v>
      </c>
      <c r="D553" s="1">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47</v>
      </c>
      <c r="K554" t="s">
        <v>32</v>
      </c>
      <c r="L554">
        <v>54</v>
      </c>
      <c r="M554" t="str">
        <f t="shared" si="8"/>
        <v>OLD</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40</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40</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40</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40</v>
      </c>
      <c r="D561" s="1">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40</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40</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40</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40</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40</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OLD</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40</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40</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IF(L579&gt;=50,"OLD",IF(L579 &gt;=31, "Middle Age",IF(L579&lt;31, "Adolescent","Invalid")))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40</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40</v>
      </c>
      <c r="D582" s="1">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OLD</v>
      </c>
      <c r="N588" t="s">
        <v>18</v>
      </c>
    </row>
    <row r="589" spans="1:14" x14ac:dyDescent="0.25">
      <c r="A589">
        <v>18935</v>
      </c>
      <c r="B589" t="s">
        <v>36</v>
      </c>
      <c r="C589" t="s">
        <v>40</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40</v>
      </c>
      <c r="D590" s="1">
        <v>90000</v>
      </c>
      <c r="E590">
        <v>2</v>
      </c>
      <c r="F590" t="s">
        <v>27</v>
      </c>
      <c r="G590" t="s">
        <v>21</v>
      </c>
      <c r="H590" t="s">
        <v>15</v>
      </c>
      <c r="I590">
        <v>1</v>
      </c>
      <c r="J590" t="s">
        <v>47</v>
      </c>
      <c r="K590" t="s">
        <v>32</v>
      </c>
      <c r="L590">
        <v>51</v>
      </c>
      <c r="M590" t="str">
        <f t="shared" si="9"/>
        <v>OLD</v>
      </c>
      <c r="N590" t="s">
        <v>15</v>
      </c>
    </row>
    <row r="591" spans="1:14" x14ac:dyDescent="0.25">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40</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40</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40</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40</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40</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40</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OLD</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OLD</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40</v>
      </c>
      <c r="D609" s="1">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OLD</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40</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40</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40</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40</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40</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40</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40</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40</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40</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40</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40</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40</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OLD</v>
      </c>
      <c r="N630" t="s">
        <v>15</v>
      </c>
    </row>
    <row r="631" spans="1:14" x14ac:dyDescent="0.25">
      <c r="A631">
        <v>28815</v>
      </c>
      <c r="B631" t="s">
        <v>36</v>
      </c>
      <c r="C631" t="s">
        <v>40</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40</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40</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40</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40</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40</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47</v>
      </c>
      <c r="K643" t="s">
        <v>32</v>
      </c>
      <c r="L643">
        <v>64</v>
      </c>
      <c r="M643" t="str">
        <f t="shared" ref="M643:M706" si="10">IF(L643&gt;=50,"OLD",IF(L643 &gt;=31, "Middle Age",IF(L643&lt;31, "Adolescent","Invalid")))</f>
        <v>OLD</v>
      </c>
      <c r="N643" t="s">
        <v>18</v>
      </c>
    </row>
    <row r="644" spans="1:14" x14ac:dyDescent="0.25">
      <c r="A644">
        <v>21741</v>
      </c>
      <c r="B644" t="s">
        <v>36</v>
      </c>
      <c r="C644" t="s">
        <v>40</v>
      </c>
      <c r="D644" s="1">
        <v>70000</v>
      </c>
      <c r="E644">
        <v>3</v>
      </c>
      <c r="F644" t="s">
        <v>19</v>
      </c>
      <c r="G644" t="s">
        <v>21</v>
      </c>
      <c r="H644" t="s">
        <v>15</v>
      </c>
      <c r="I644">
        <v>2</v>
      </c>
      <c r="J644" t="s">
        <v>23</v>
      </c>
      <c r="K644" t="s">
        <v>32</v>
      </c>
      <c r="L644">
        <v>50</v>
      </c>
      <c r="M644" t="str">
        <f t="shared" si="10"/>
        <v>OLD</v>
      </c>
      <c r="N644" t="s">
        <v>15</v>
      </c>
    </row>
    <row r="645" spans="1:14" x14ac:dyDescent="0.25">
      <c r="A645">
        <v>14572</v>
      </c>
      <c r="B645" t="s">
        <v>36</v>
      </c>
      <c r="C645" t="s">
        <v>40</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40</v>
      </c>
      <c r="D646" s="1">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40</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40</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40</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40</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40</v>
      </c>
      <c r="D652" s="1">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40</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OLD</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40</v>
      </c>
      <c r="D661" s="1">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40</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40</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40</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40</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40</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40</v>
      </c>
      <c r="D669" s="1">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40</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40</v>
      </c>
      <c r="D671" s="1">
        <v>60000</v>
      </c>
      <c r="E671">
        <v>2</v>
      </c>
      <c r="F671" t="s">
        <v>27</v>
      </c>
      <c r="G671" t="s">
        <v>21</v>
      </c>
      <c r="H671" t="s">
        <v>15</v>
      </c>
      <c r="I671">
        <v>2</v>
      </c>
      <c r="J671" t="s">
        <v>23</v>
      </c>
      <c r="K671" t="s">
        <v>32</v>
      </c>
      <c r="L671">
        <v>50</v>
      </c>
      <c r="M671" t="str">
        <f t="shared" si="10"/>
        <v>OLD</v>
      </c>
      <c r="N671" t="s">
        <v>18</v>
      </c>
    </row>
    <row r="672" spans="1:14" x14ac:dyDescent="0.25">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40</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40</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40</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40</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40</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40</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OLD</v>
      </c>
      <c r="N684" t="s">
        <v>18</v>
      </c>
    </row>
    <row r="685" spans="1:14" x14ac:dyDescent="0.25">
      <c r="A685">
        <v>23461</v>
      </c>
      <c r="B685" t="s">
        <v>36</v>
      </c>
      <c r="C685" t="s">
        <v>40</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40</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40</v>
      </c>
      <c r="D687" s="1">
        <v>60000</v>
      </c>
      <c r="E687">
        <v>3</v>
      </c>
      <c r="F687" t="s">
        <v>31</v>
      </c>
      <c r="G687" t="s">
        <v>28</v>
      </c>
      <c r="H687" t="s">
        <v>15</v>
      </c>
      <c r="I687">
        <v>2</v>
      </c>
      <c r="J687" t="s">
        <v>23</v>
      </c>
      <c r="K687" t="s">
        <v>32</v>
      </c>
      <c r="L687">
        <v>53</v>
      </c>
      <c r="M687" t="str">
        <f t="shared" si="10"/>
        <v>OLD</v>
      </c>
      <c r="N687" t="s">
        <v>15</v>
      </c>
    </row>
    <row r="688" spans="1:14" x14ac:dyDescent="0.25">
      <c r="A688">
        <v>12774</v>
      </c>
      <c r="B688" t="s">
        <v>36</v>
      </c>
      <c r="C688" t="s">
        <v>40</v>
      </c>
      <c r="D688" s="1">
        <v>40000</v>
      </c>
      <c r="E688">
        <v>1</v>
      </c>
      <c r="F688" t="s">
        <v>19</v>
      </c>
      <c r="G688" t="s">
        <v>20</v>
      </c>
      <c r="H688" t="s">
        <v>15</v>
      </c>
      <c r="I688">
        <v>1</v>
      </c>
      <c r="J688" t="s">
        <v>26</v>
      </c>
      <c r="K688" t="s">
        <v>32</v>
      </c>
      <c r="L688">
        <v>51</v>
      </c>
      <c r="M688" t="str">
        <f t="shared" si="10"/>
        <v>OLD</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40</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40</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40</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40</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40</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40</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40</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40</v>
      </c>
      <c r="D707" s="1">
        <v>70000</v>
      </c>
      <c r="E707">
        <v>4</v>
      </c>
      <c r="F707" t="s">
        <v>13</v>
      </c>
      <c r="G707" t="s">
        <v>28</v>
      </c>
      <c r="H707" t="s">
        <v>15</v>
      </c>
      <c r="I707">
        <v>1</v>
      </c>
      <c r="J707" t="s">
        <v>47</v>
      </c>
      <c r="K707" t="s">
        <v>32</v>
      </c>
      <c r="L707">
        <v>59</v>
      </c>
      <c r="M707" t="str">
        <f t="shared" ref="M707:M770" si="11">IF(L707&gt;=50,"OLD",IF(L707 &gt;=31, "Middle Age",IF(L707&lt;31, "Adolescent","Invalid")))</f>
        <v>OLD</v>
      </c>
      <c r="N707" t="s">
        <v>18</v>
      </c>
    </row>
    <row r="708" spans="1:14" x14ac:dyDescent="0.25">
      <c r="A708">
        <v>20296</v>
      </c>
      <c r="B708" t="s">
        <v>37</v>
      </c>
      <c r="C708" t="s">
        <v>40</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40</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40</v>
      </c>
      <c r="D711" s="1">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40</v>
      </c>
      <c r="D713" s="1">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40</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40</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40</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40</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40</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40</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40</v>
      </c>
      <c r="D724" s="1">
        <v>70000</v>
      </c>
      <c r="E724">
        <v>3</v>
      </c>
      <c r="F724" t="s">
        <v>31</v>
      </c>
      <c r="G724" t="s">
        <v>28</v>
      </c>
      <c r="H724" t="s">
        <v>18</v>
      </c>
      <c r="I724">
        <v>2</v>
      </c>
      <c r="J724" t="s">
        <v>26</v>
      </c>
      <c r="K724" t="s">
        <v>32</v>
      </c>
      <c r="L724">
        <v>53</v>
      </c>
      <c r="M724" t="str">
        <f t="shared" si="11"/>
        <v>OLD</v>
      </c>
      <c r="N724" t="s">
        <v>18</v>
      </c>
    </row>
    <row r="725" spans="1:14" x14ac:dyDescent="0.25">
      <c r="A725">
        <v>26678</v>
      </c>
      <c r="B725" t="s">
        <v>37</v>
      </c>
      <c r="C725" t="s">
        <v>40</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40</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40</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40</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40</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40</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40</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40</v>
      </c>
      <c r="D741" s="1">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40</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40</v>
      </c>
      <c r="D746" s="1">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40</v>
      </c>
      <c r="D748" s="1">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40</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40</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OLD</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40</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40</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OLD</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OLD</v>
      </c>
      <c r="N759" t="s">
        <v>15</v>
      </c>
    </row>
    <row r="760" spans="1:14" x14ac:dyDescent="0.25">
      <c r="A760">
        <v>21714</v>
      </c>
      <c r="B760" t="s">
        <v>37</v>
      </c>
      <c r="C760" t="s">
        <v>40</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40</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OLD</v>
      </c>
      <c r="N762" t="s">
        <v>18</v>
      </c>
    </row>
    <row r="763" spans="1:14" x14ac:dyDescent="0.25">
      <c r="A763">
        <v>13216</v>
      </c>
      <c r="B763" t="s">
        <v>36</v>
      </c>
      <c r="C763" t="s">
        <v>40</v>
      </c>
      <c r="D763" s="1">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40</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40</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40</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40</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40</v>
      </c>
      <c r="D771" s="1">
        <v>100000</v>
      </c>
      <c r="E771">
        <v>4</v>
      </c>
      <c r="F771" t="s">
        <v>13</v>
      </c>
      <c r="G771" t="s">
        <v>28</v>
      </c>
      <c r="H771" t="s">
        <v>15</v>
      </c>
      <c r="I771">
        <v>4</v>
      </c>
      <c r="J771" t="s">
        <v>16</v>
      </c>
      <c r="K771" t="s">
        <v>32</v>
      </c>
      <c r="L771">
        <v>40</v>
      </c>
      <c r="M771" t="str">
        <f t="shared" ref="M771:M834" si="12">IF(L771&gt;=50,"OLD",IF(L771 &gt;=31, "Middle Age",IF(L771&lt;31, "Adolescent","Invalid")))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40</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40</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47</v>
      </c>
      <c r="K777" t="s">
        <v>32</v>
      </c>
      <c r="L777">
        <v>54</v>
      </c>
      <c r="M777" t="str">
        <f t="shared" si="12"/>
        <v>OLD</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OLD</v>
      </c>
      <c r="N781" t="s">
        <v>15</v>
      </c>
    </row>
    <row r="782" spans="1:14" x14ac:dyDescent="0.25">
      <c r="A782">
        <v>18105</v>
      </c>
      <c r="B782" t="s">
        <v>36</v>
      </c>
      <c r="C782" t="s">
        <v>40</v>
      </c>
      <c r="D782" s="1">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40</v>
      </c>
      <c r="D786" s="1">
        <v>10000</v>
      </c>
      <c r="E786">
        <v>2</v>
      </c>
      <c r="F786" t="s">
        <v>27</v>
      </c>
      <c r="G786" t="s">
        <v>25</v>
      </c>
      <c r="H786" t="s">
        <v>15</v>
      </c>
      <c r="I786">
        <v>2</v>
      </c>
      <c r="J786" t="s">
        <v>26</v>
      </c>
      <c r="K786" t="s">
        <v>32</v>
      </c>
      <c r="L786">
        <v>53</v>
      </c>
      <c r="M786" t="str">
        <f t="shared" si="12"/>
        <v>OLD</v>
      </c>
      <c r="N786" t="s">
        <v>15</v>
      </c>
    </row>
    <row r="787" spans="1:14" x14ac:dyDescent="0.25">
      <c r="A787">
        <v>24496</v>
      </c>
      <c r="B787" t="s">
        <v>37</v>
      </c>
      <c r="C787" t="s">
        <v>40</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40</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40</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40</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40</v>
      </c>
      <c r="D792" s="1">
        <v>80000</v>
      </c>
      <c r="E792">
        <v>2</v>
      </c>
      <c r="F792" t="s">
        <v>29</v>
      </c>
      <c r="G792" t="s">
        <v>14</v>
      </c>
      <c r="H792" t="s">
        <v>18</v>
      </c>
      <c r="I792">
        <v>2</v>
      </c>
      <c r="J792" t="s">
        <v>26</v>
      </c>
      <c r="K792" t="s">
        <v>32</v>
      </c>
      <c r="L792">
        <v>50</v>
      </c>
      <c r="M792" t="str">
        <f t="shared" si="12"/>
        <v>OLD</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OLD</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OLD</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OLD</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40</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40</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40</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40</v>
      </c>
      <c r="D808" s="1">
        <v>10000</v>
      </c>
      <c r="E808">
        <v>2</v>
      </c>
      <c r="F808" t="s">
        <v>27</v>
      </c>
      <c r="G808" t="s">
        <v>25</v>
      </c>
      <c r="H808" t="s">
        <v>15</v>
      </c>
      <c r="I808">
        <v>2</v>
      </c>
      <c r="J808" t="s">
        <v>26</v>
      </c>
      <c r="K808" t="s">
        <v>32</v>
      </c>
      <c r="L808">
        <v>53</v>
      </c>
      <c r="M808" t="str">
        <f t="shared" si="12"/>
        <v>OLD</v>
      </c>
      <c r="N808" t="s">
        <v>18</v>
      </c>
    </row>
    <row r="809" spans="1:14" x14ac:dyDescent="0.25">
      <c r="A809">
        <v>21417</v>
      </c>
      <c r="B809" t="s">
        <v>37</v>
      </c>
      <c r="C809" t="s">
        <v>40</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OLD</v>
      </c>
      <c r="N810" t="s">
        <v>15</v>
      </c>
    </row>
    <row r="811" spans="1:14" x14ac:dyDescent="0.25">
      <c r="A811">
        <v>27994</v>
      </c>
      <c r="B811" t="s">
        <v>36</v>
      </c>
      <c r="C811" t="s">
        <v>40</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40</v>
      </c>
      <c r="D812" s="1">
        <v>70000</v>
      </c>
      <c r="E812">
        <v>3</v>
      </c>
      <c r="F812" t="s">
        <v>31</v>
      </c>
      <c r="G812" t="s">
        <v>28</v>
      </c>
      <c r="H812" t="s">
        <v>15</v>
      </c>
      <c r="I812">
        <v>2</v>
      </c>
      <c r="J812" t="s">
        <v>23</v>
      </c>
      <c r="K812" t="s">
        <v>32</v>
      </c>
      <c r="L812">
        <v>52</v>
      </c>
      <c r="M812" t="str">
        <f t="shared" si="12"/>
        <v>OLD</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40</v>
      </c>
      <c r="D814" s="1">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40</v>
      </c>
      <c r="D815" s="1">
        <v>70000</v>
      </c>
      <c r="E815">
        <v>2</v>
      </c>
      <c r="F815" t="s">
        <v>27</v>
      </c>
      <c r="G815" t="s">
        <v>21</v>
      </c>
      <c r="H815" t="s">
        <v>15</v>
      </c>
      <c r="I815">
        <v>2</v>
      </c>
      <c r="J815" t="s">
        <v>47</v>
      </c>
      <c r="K815" t="s">
        <v>32</v>
      </c>
      <c r="L815">
        <v>53</v>
      </c>
      <c r="M815" t="str">
        <f t="shared" si="12"/>
        <v>OLD</v>
      </c>
      <c r="N815" t="s">
        <v>18</v>
      </c>
    </row>
    <row r="816" spans="1:14" x14ac:dyDescent="0.25">
      <c r="A816">
        <v>13351</v>
      </c>
      <c r="B816" t="s">
        <v>37</v>
      </c>
      <c r="C816" t="s">
        <v>40</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40</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40</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40</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40</v>
      </c>
      <c r="D825" s="1">
        <v>70000</v>
      </c>
      <c r="E825">
        <v>4</v>
      </c>
      <c r="F825" t="s">
        <v>27</v>
      </c>
      <c r="G825" t="s">
        <v>21</v>
      </c>
      <c r="H825" t="s">
        <v>15</v>
      </c>
      <c r="I825">
        <v>0</v>
      </c>
      <c r="J825" t="s">
        <v>23</v>
      </c>
      <c r="K825" t="s">
        <v>32</v>
      </c>
      <c r="L825">
        <v>50</v>
      </c>
      <c r="M825" t="str">
        <f t="shared" si="12"/>
        <v>OLD</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OLD</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40</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40</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OLD</v>
      </c>
      <c r="N832" t="s">
        <v>18</v>
      </c>
    </row>
    <row r="833" spans="1:14" x14ac:dyDescent="0.25">
      <c r="A833">
        <v>19163</v>
      </c>
      <c r="B833" t="s">
        <v>36</v>
      </c>
      <c r="C833" t="s">
        <v>40</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40</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40</v>
      </c>
      <c r="D835" s="1">
        <v>70000</v>
      </c>
      <c r="E835">
        <v>0</v>
      </c>
      <c r="F835" t="s">
        <v>13</v>
      </c>
      <c r="G835" t="s">
        <v>21</v>
      </c>
      <c r="H835" t="s">
        <v>18</v>
      </c>
      <c r="I835">
        <v>1</v>
      </c>
      <c r="J835" t="s">
        <v>16</v>
      </c>
      <c r="K835" t="s">
        <v>32</v>
      </c>
      <c r="L835">
        <v>37</v>
      </c>
      <c r="M835" t="str">
        <f t="shared" ref="M835:M898" si="13">IF(L835&gt;=50,"OLD",IF(L835 &gt;=31, "Middle Age",IF(L835&lt;31, "Adolescent","Invalid")))</f>
        <v>Middle Age</v>
      </c>
      <c r="N835" t="s">
        <v>15</v>
      </c>
    </row>
    <row r="836" spans="1:14" x14ac:dyDescent="0.25">
      <c r="A836">
        <v>19889</v>
      </c>
      <c r="B836" t="s">
        <v>37</v>
      </c>
      <c r="C836" t="s">
        <v>40</v>
      </c>
      <c r="D836" s="1">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40</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40</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40</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40</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47</v>
      </c>
      <c r="K842" t="s">
        <v>32</v>
      </c>
      <c r="L842">
        <v>53</v>
      </c>
      <c r="M842" t="str">
        <f t="shared" si="13"/>
        <v>OLD</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40</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OLD</v>
      </c>
      <c r="N845" t="s">
        <v>18</v>
      </c>
    </row>
    <row r="846" spans="1:14" x14ac:dyDescent="0.25">
      <c r="A846">
        <v>22743</v>
      </c>
      <c r="B846" t="s">
        <v>36</v>
      </c>
      <c r="C846" t="s">
        <v>40</v>
      </c>
      <c r="D846" s="1">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40</v>
      </c>
      <c r="D847" s="1">
        <v>20000</v>
      </c>
      <c r="E847">
        <v>3</v>
      </c>
      <c r="F847" t="s">
        <v>29</v>
      </c>
      <c r="G847" t="s">
        <v>20</v>
      </c>
      <c r="H847" t="s">
        <v>15</v>
      </c>
      <c r="I847">
        <v>2</v>
      </c>
      <c r="J847" t="s">
        <v>26</v>
      </c>
      <c r="K847" t="s">
        <v>32</v>
      </c>
      <c r="L847">
        <v>50</v>
      </c>
      <c r="M847" t="str">
        <f t="shared" si="13"/>
        <v>OLD</v>
      </c>
      <c r="N847" t="s">
        <v>18</v>
      </c>
    </row>
    <row r="848" spans="1:14" x14ac:dyDescent="0.25">
      <c r="A848">
        <v>13390</v>
      </c>
      <c r="B848" t="s">
        <v>36</v>
      </c>
      <c r="C848" t="s">
        <v>40</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40</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40</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40</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40</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40</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40</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40</v>
      </c>
      <c r="D863" s="1">
        <v>20000</v>
      </c>
      <c r="E863">
        <v>2</v>
      </c>
      <c r="F863" t="s">
        <v>27</v>
      </c>
      <c r="G863" t="s">
        <v>25</v>
      </c>
      <c r="H863" t="s">
        <v>18</v>
      </c>
      <c r="I863">
        <v>2</v>
      </c>
      <c r="J863" t="s">
        <v>26</v>
      </c>
      <c r="K863" t="s">
        <v>32</v>
      </c>
      <c r="L863">
        <v>53</v>
      </c>
      <c r="M863" t="str">
        <f t="shared" si="13"/>
        <v>OLD</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40</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40</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40</v>
      </c>
      <c r="D874" s="1">
        <v>70000</v>
      </c>
      <c r="E874">
        <v>3</v>
      </c>
      <c r="F874" t="s">
        <v>31</v>
      </c>
      <c r="G874" t="s">
        <v>28</v>
      </c>
      <c r="H874" t="s">
        <v>15</v>
      </c>
      <c r="I874">
        <v>2</v>
      </c>
      <c r="J874" t="s">
        <v>23</v>
      </c>
      <c r="K874" t="s">
        <v>32</v>
      </c>
      <c r="L874">
        <v>53</v>
      </c>
      <c r="M874" t="str">
        <f t="shared" si="13"/>
        <v>OLD</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40</v>
      </c>
      <c r="D876" s="1">
        <v>30000</v>
      </c>
      <c r="E876">
        <v>1</v>
      </c>
      <c r="F876" t="s">
        <v>13</v>
      </c>
      <c r="G876" t="s">
        <v>14</v>
      </c>
      <c r="H876" t="s">
        <v>15</v>
      </c>
      <c r="I876">
        <v>1</v>
      </c>
      <c r="J876" t="s">
        <v>23</v>
      </c>
      <c r="K876" t="s">
        <v>32</v>
      </c>
      <c r="L876">
        <v>53</v>
      </c>
      <c r="M876" t="str">
        <f t="shared" si="13"/>
        <v>OLD</v>
      </c>
      <c r="N876" t="s">
        <v>15</v>
      </c>
    </row>
    <row r="877" spans="1:14" x14ac:dyDescent="0.25">
      <c r="A877">
        <v>27279</v>
      </c>
      <c r="B877" t="s">
        <v>37</v>
      </c>
      <c r="C877" t="s">
        <v>40</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40</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40</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40</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40</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40</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40</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40</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40</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40</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IF(L899&gt;=50,"OLD",IF(L899 &gt;=31, "Middle Age",IF(L899&lt;31, "Adolescent","Invalid")))</f>
        <v>Adolescent</v>
      </c>
      <c r="N899" t="s">
        <v>18</v>
      </c>
    </row>
    <row r="900" spans="1:14" x14ac:dyDescent="0.25">
      <c r="A900">
        <v>18066</v>
      </c>
      <c r="B900" t="s">
        <v>37</v>
      </c>
      <c r="C900" t="s">
        <v>39</v>
      </c>
      <c r="D900" s="1">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40</v>
      </c>
      <c r="D901" s="1">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40</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40</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40</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40</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40</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40</v>
      </c>
      <c r="D921" s="1">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OLD</v>
      </c>
      <c r="N922" t="s">
        <v>18</v>
      </c>
    </row>
    <row r="923" spans="1:14" x14ac:dyDescent="0.25">
      <c r="A923">
        <v>12153</v>
      </c>
      <c r="B923" t="s">
        <v>37</v>
      </c>
      <c r="C923" t="s">
        <v>40</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40</v>
      </c>
      <c r="D924" s="1">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40</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40</v>
      </c>
      <c r="D928" s="1">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40</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OLD</v>
      </c>
      <c r="N931" t="s">
        <v>18</v>
      </c>
    </row>
    <row r="932" spans="1:14" x14ac:dyDescent="0.25">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40</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40</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40</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40</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40</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OLD</v>
      </c>
      <c r="N941" t="s">
        <v>18</v>
      </c>
    </row>
    <row r="942" spans="1:14" x14ac:dyDescent="0.25">
      <c r="A942">
        <v>15292</v>
      </c>
      <c r="B942" t="s">
        <v>37</v>
      </c>
      <c r="C942" t="s">
        <v>40</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40</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40</v>
      </c>
      <c r="D944" s="1">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40</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40</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40</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40</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40</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47</v>
      </c>
      <c r="K951" t="s">
        <v>32</v>
      </c>
      <c r="L951">
        <v>53</v>
      </c>
      <c r="M951" t="str">
        <f t="shared" si="14"/>
        <v>OLD</v>
      </c>
      <c r="N951" t="s">
        <v>18</v>
      </c>
    </row>
    <row r="952" spans="1:14" x14ac:dyDescent="0.25">
      <c r="A952">
        <v>11788</v>
      </c>
      <c r="B952" t="s">
        <v>37</v>
      </c>
      <c r="C952" t="s">
        <v>40</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40</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40</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40</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40</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40</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40</v>
      </c>
      <c r="D963" s="1">
        <v>120000</v>
      </c>
      <c r="E963">
        <v>2</v>
      </c>
      <c r="F963" t="s">
        <v>13</v>
      </c>
      <c r="G963" t="s">
        <v>28</v>
      </c>
      <c r="H963" t="s">
        <v>15</v>
      </c>
      <c r="I963">
        <v>3</v>
      </c>
      <c r="J963" t="s">
        <v>23</v>
      </c>
      <c r="K963" t="s">
        <v>32</v>
      </c>
      <c r="L963">
        <v>62</v>
      </c>
      <c r="M963" t="str">
        <f t="shared" ref="M963:M1026" si="15">IF(L963&gt;=50,"OLD",IF(L963 &gt;=31, "Middle Age",IF(L963&lt;31, "Adolescent","Invalid")))</f>
        <v>OLD</v>
      </c>
      <c r="N963" t="s">
        <v>18</v>
      </c>
    </row>
    <row r="964" spans="1:14" x14ac:dyDescent="0.25">
      <c r="A964">
        <v>16813</v>
      </c>
      <c r="B964" t="s">
        <v>36</v>
      </c>
      <c r="C964" t="s">
        <v>39</v>
      </c>
      <c r="D964" s="1">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40</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40</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40</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40</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40</v>
      </c>
      <c r="D973" s="1">
        <v>60000</v>
      </c>
      <c r="E973">
        <v>2</v>
      </c>
      <c r="F973" t="s">
        <v>29</v>
      </c>
      <c r="G973" t="s">
        <v>14</v>
      </c>
      <c r="H973" t="s">
        <v>18</v>
      </c>
      <c r="I973">
        <v>2</v>
      </c>
      <c r="J973" t="s">
        <v>26</v>
      </c>
      <c r="K973" t="s">
        <v>32</v>
      </c>
      <c r="L973">
        <v>51</v>
      </c>
      <c r="M973" t="str">
        <f t="shared" si="15"/>
        <v>OLD</v>
      </c>
      <c r="N973" t="s">
        <v>18</v>
      </c>
    </row>
    <row r="974" spans="1:14" x14ac:dyDescent="0.25">
      <c r="A974">
        <v>14887</v>
      </c>
      <c r="B974" t="s">
        <v>36</v>
      </c>
      <c r="C974" t="s">
        <v>40</v>
      </c>
      <c r="D974" s="1">
        <v>30000</v>
      </c>
      <c r="E974">
        <v>1</v>
      </c>
      <c r="F974" t="s">
        <v>27</v>
      </c>
      <c r="G974" t="s">
        <v>20</v>
      </c>
      <c r="H974" t="s">
        <v>15</v>
      </c>
      <c r="I974">
        <v>1</v>
      </c>
      <c r="J974" t="s">
        <v>23</v>
      </c>
      <c r="K974" t="s">
        <v>32</v>
      </c>
      <c r="L974">
        <v>52</v>
      </c>
      <c r="M974" t="str">
        <f t="shared" si="15"/>
        <v>OLD</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40</v>
      </c>
      <c r="D978" s="1">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40</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40</v>
      </c>
      <c r="D982" s="1">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40</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40</v>
      </c>
      <c r="D989" s="1">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40</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40</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47</v>
      </c>
      <c r="K1001" t="s">
        <v>32</v>
      </c>
      <c r="L1001">
        <v>53</v>
      </c>
      <c r="M1001" t="str">
        <f t="shared" si="15"/>
        <v>OLD</v>
      </c>
      <c r="N1001" t="s">
        <v>15</v>
      </c>
    </row>
    <row r="1002" spans="1:14" x14ac:dyDescent="0.25">
      <c r="A1002">
        <v>13507</v>
      </c>
      <c r="B1002" t="s">
        <v>36</v>
      </c>
      <c r="C1002" t="s">
        <v>40</v>
      </c>
      <c r="D1002" s="1">
        <v>10000</v>
      </c>
      <c r="E1002">
        <v>2</v>
      </c>
      <c r="F1002" t="s">
        <v>19</v>
      </c>
      <c r="G1002" t="s">
        <v>25</v>
      </c>
      <c r="H1002" t="s">
        <v>15</v>
      </c>
      <c r="I1002">
        <v>0</v>
      </c>
      <c r="J1002" t="s">
        <v>26</v>
      </c>
      <c r="K1002" t="s">
        <v>17</v>
      </c>
      <c r="L1002">
        <v>50</v>
      </c>
      <c r="M1002" t="str">
        <f t="shared" si="15"/>
        <v>OLD</v>
      </c>
      <c r="N1002" t="s">
        <v>18</v>
      </c>
    </row>
    <row r="1003" spans="1:14" x14ac:dyDescent="0.25">
      <c r="A1003">
        <v>19280</v>
      </c>
      <c r="B1003" t="s">
        <v>36</v>
      </c>
      <c r="C1003" t="s">
        <v>39</v>
      </c>
      <c r="D1003" s="1">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40</v>
      </c>
      <c r="D1004" s="1">
        <v>30000</v>
      </c>
      <c r="E1004">
        <v>3</v>
      </c>
      <c r="F1004" t="s">
        <v>27</v>
      </c>
      <c r="G1004" t="s">
        <v>14</v>
      </c>
      <c r="H1004" t="s">
        <v>18</v>
      </c>
      <c r="I1004">
        <v>2</v>
      </c>
      <c r="J1004" t="s">
        <v>26</v>
      </c>
      <c r="K1004" t="s">
        <v>24</v>
      </c>
      <c r="L1004">
        <v>54</v>
      </c>
      <c r="M1004" t="str">
        <f t="shared" si="15"/>
        <v>OLD</v>
      </c>
      <c r="N1004" t="s">
        <v>15</v>
      </c>
    </row>
    <row r="1005" spans="1:14" x14ac:dyDescent="0.25">
      <c r="A1005">
        <v>12697</v>
      </c>
      <c r="B1005" t="s">
        <v>37</v>
      </c>
      <c r="C1005" t="s">
        <v>40</v>
      </c>
      <c r="D1005" s="1">
        <v>90000</v>
      </c>
      <c r="E1005">
        <v>0</v>
      </c>
      <c r="F1005" t="s">
        <v>13</v>
      </c>
      <c r="G1005" t="s">
        <v>21</v>
      </c>
      <c r="H1005" t="s">
        <v>18</v>
      </c>
      <c r="I1005">
        <v>4</v>
      </c>
      <c r="J1005" t="s">
        <v>47</v>
      </c>
      <c r="K1005" t="s">
        <v>24</v>
      </c>
      <c r="L1005">
        <v>36</v>
      </c>
      <c r="M1005" t="str">
        <f t="shared" si="15"/>
        <v>Middle Age</v>
      </c>
      <c r="N1005" t="s">
        <v>18</v>
      </c>
    </row>
    <row r="1006" spans="1:14" x14ac:dyDescent="0.25">
      <c r="A1006">
        <v>11434</v>
      </c>
      <c r="B1006" t="s">
        <v>36</v>
      </c>
      <c r="C1006" t="s">
        <v>39</v>
      </c>
      <c r="D1006" s="1">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36</v>
      </c>
      <c r="C1007" t="s">
        <v>39</v>
      </c>
      <c r="D1007" s="1">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39</v>
      </c>
      <c r="D1008" s="1">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40</v>
      </c>
      <c r="D1009" s="1">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39</v>
      </c>
      <c r="D1010" s="1">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40</v>
      </c>
      <c r="D1011" s="1">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39</v>
      </c>
      <c r="D1012" s="1">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39</v>
      </c>
      <c r="D1013" s="1">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36</v>
      </c>
      <c r="C1014" t="s">
        <v>40</v>
      </c>
      <c r="D1014" s="1">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40</v>
      </c>
      <c r="D1015" s="1">
        <v>80000</v>
      </c>
      <c r="E1015">
        <v>0</v>
      </c>
      <c r="F1015" t="s">
        <v>13</v>
      </c>
      <c r="G1015" t="s">
        <v>21</v>
      </c>
      <c r="H1015" t="s">
        <v>15</v>
      </c>
      <c r="I1015">
        <v>4</v>
      </c>
      <c r="J1015" t="s">
        <v>47</v>
      </c>
      <c r="K1015" t="s">
        <v>24</v>
      </c>
      <c r="L1015">
        <v>35</v>
      </c>
      <c r="M1015" t="str">
        <f t="shared" si="15"/>
        <v>Middle Age</v>
      </c>
      <c r="N1015" t="s">
        <v>18</v>
      </c>
    </row>
    <row r="1016" spans="1:14" x14ac:dyDescent="0.25">
      <c r="A1016">
        <v>19193</v>
      </c>
      <c r="B1016" t="s">
        <v>37</v>
      </c>
      <c r="C1016" t="s">
        <v>39</v>
      </c>
      <c r="D1016" s="1">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40</v>
      </c>
      <c r="D1017" s="1">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37</v>
      </c>
      <c r="C1018" t="s">
        <v>39</v>
      </c>
      <c r="D1018" s="1">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39</v>
      </c>
      <c r="D1019" s="1">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37</v>
      </c>
      <c r="C1020" t="s">
        <v>39</v>
      </c>
      <c r="D1020" s="1">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37</v>
      </c>
      <c r="C1021" t="s">
        <v>40</v>
      </c>
      <c r="D1021" s="1">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39</v>
      </c>
      <c r="D1022" s="1">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40</v>
      </c>
      <c r="D1023" s="1">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40</v>
      </c>
      <c r="D1024" s="1">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39</v>
      </c>
      <c r="D1025" s="1">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37</v>
      </c>
      <c r="C1026" t="s">
        <v>40</v>
      </c>
      <c r="D1026" s="1">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39</v>
      </c>
      <c r="D1027" s="1">
        <v>80000</v>
      </c>
      <c r="E1027">
        <v>2</v>
      </c>
      <c r="F1027" t="s">
        <v>27</v>
      </c>
      <c r="G1027" t="s">
        <v>14</v>
      </c>
      <c r="H1027" t="s">
        <v>18</v>
      </c>
      <c r="I1027">
        <v>2</v>
      </c>
      <c r="J1027" t="s">
        <v>26</v>
      </c>
      <c r="K1027" t="s">
        <v>24</v>
      </c>
      <c r="L1027">
        <v>50</v>
      </c>
      <c r="M1027" t="str">
        <f>IF(L1027&gt;=50,"OLD",IF(L1027 &gt;=31, "Middle Age",IF(L1027&lt;31, "Adolescent","Invalid")))</f>
        <v>OLD</v>
      </c>
      <c r="N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50FA-CA29-4126-A497-488EBB7EBC58}">
  <dimension ref="A3:D122"/>
  <sheetViews>
    <sheetView workbookViewId="0">
      <selection activeCell="F91" sqref="F91"/>
    </sheetView>
  </sheetViews>
  <sheetFormatPr defaultRowHeight="15" x14ac:dyDescent="0.25"/>
  <cols>
    <col min="1" max="1" width="17.85546875" bestFit="1" customWidth="1"/>
    <col min="2" max="2" width="16.28515625" bestFit="1" customWidth="1"/>
    <col min="3" max="3" width="10.5703125" bestFit="1" customWidth="1"/>
    <col min="4" max="4" width="11.28515625" bestFit="1" customWidth="1"/>
  </cols>
  <sheetData>
    <row r="3" spans="1:4" x14ac:dyDescent="0.25">
      <c r="A3" s="3" t="s">
        <v>44</v>
      </c>
      <c r="B3" s="3" t="s">
        <v>45</v>
      </c>
    </row>
    <row r="4" spans="1:4" x14ac:dyDescent="0.25">
      <c r="A4" s="3" t="s">
        <v>42</v>
      </c>
      <c r="B4" t="s">
        <v>18</v>
      </c>
      <c r="C4" t="s">
        <v>15</v>
      </c>
      <c r="D4" t="s">
        <v>43</v>
      </c>
    </row>
    <row r="5" spans="1:4" x14ac:dyDescent="0.25">
      <c r="A5" s="4" t="s">
        <v>40</v>
      </c>
      <c r="B5" s="5">
        <v>53449.612403100778</v>
      </c>
      <c r="C5" s="5">
        <v>55267.489711934155</v>
      </c>
      <c r="D5" s="5">
        <v>54331.337325349305</v>
      </c>
    </row>
    <row r="6" spans="1:4" x14ac:dyDescent="0.25">
      <c r="A6" s="4" t="s">
        <v>39</v>
      </c>
      <c r="B6" s="5">
        <v>56520.146520146518</v>
      </c>
      <c r="C6" s="5">
        <v>59603.174603174601</v>
      </c>
      <c r="D6" s="5">
        <v>58000</v>
      </c>
    </row>
    <row r="7" spans="1:4" x14ac:dyDescent="0.25">
      <c r="A7" s="4" t="s">
        <v>43</v>
      </c>
      <c r="B7" s="5">
        <v>55028.248587570619</v>
      </c>
      <c r="C7" s="5">
        <v>57474.747474747477</v>
      </c>
      <c r="D7" s="5">
        <v>56208.576998050681</v>
      </c>
    </row>
    <row r="27" spans="1:4" x14ac:dyDescent="0.25">
      <c r="A27" s="3" t="s">
        <v>46</v>
      </c>
      <c r="B27" s="3" t="s">
        <v>45</v>
      </c>
    </row>
    <row r="28" spans="1:4" x14ac:dyDescent="0.25">
      <c r="A28" s="3" t="s">
        <v>42</v>
      </c>
      <c r="B28" t="s">
        <v>18</v>
      </c>
      <c r="C28" t="s">
        <v>15</v>
      </c>
      <c r="D28" t="s">
        <v>43</v>
      </c>
    </row>
    <row r="29" spans="1:4" x14ac:dyDescent="0.25">
      <c r="A29" s="4" t="s">
        <v>16</v>
      </c>
      <c r="B29" s="6">
        <v>171</v>
      </c>
      <c r="C29" s="6">
        <v>207</v>
      </c>
      <c r="D29" s="6">
        <v>378</v>
      </c>
    </row>
    <row r="30" spans="1:4" x14ac:dyDescent="0.25">
      <c r="A30" s="4" t="s">
        <v>26</v>
      </c>
      <c r="B30" s="6">
        <v>93</v>
      </c>
      <c r="C30" s="6">
        <v>83</v>
      </c>
      <c r="D30" s="6">
        <v>176</v>
      </c>
    </row>
    <row r="31" spans="1:4" x14ac:dyDescent="0.25">
      <c r="A31" s="4" t="s">
        <v>22</v>
      </c>
      <c r="B31" s="6">
        <v>67</v>
      </c>
      <c r="C31" s="6">
        <v>95</v>
      </c>
      <c r="D31" s="6">
        <v>162</v>
      </c>
    </row>
    <row r="32" spans="1:4" x14ac:dyDescent="0.25">
      <c r="A32" s="4" t="s">
        <v>23</v>
      </c>
      <c r="B32" s="6">
        <v>120</v>
      </c>
      <c r="C32" s="6">
        <v>77</v>
      </c>
      <c r="D32" s="6">
        <v>197</v>
      </c>
    </row>
    <row r="33" spans="1:4" x14ac:dyDescent="0.25">
      <c r="A33" s="4" t="s">
        <v>47</v>
      </c>
      <c r="B33" s="6">
        <v>80</v>
      </c>
      <c r="C33" s="6">
        <v>33</v>
      </c>
      <c r="D33" s="6">
        <v>113</v>
      </c>
    </row>
    <row r="34" spans="1:4" x14ac:dyDescent="0.25">
      <c r="A34" s="4" t="s">
        <v>43</v>
      </c>
      <c r="B34" s="6">
        <v>531</v>
      </c>
      <c r="C34" s="6">
        <v>495</v>
      </c>
      <c r="D34" s="6">
        <v>1026</v>
      </c>
    </row>
    <row r="46" spans="1:4" x14ac:dyDescent="0.25">
      <c r="A46" s="3" t="s">
        <v>46</v>
      </c>
      <c r="B46" s="3" t="s">
        <v>45</v>
      </c>
    </row>
    <row r="47" spans="1:4" x14ac:dyDescent="0.25">
      <c r="A47" s="3" t="s">
        <v>42</v>
      </c>
      <c r="B47" t="s">
        <v>18</v>
      </c>
      <c r="C47" t="s">
        <v>15</v>
      </c>
      <c r="D47" t="s">
        <v>43</v>
      </c>
    </row>
    <row r="48" spans="1:4" x14ac:dyDescent="0.25">
      <c r="A48" s="4" t="s">
        <v>48</v>
      </c>
      <c r="B48" s="6">
        <v>71</v>
      </c>
      <c r="C48" s="6">
        <v>41</v>
      </c>
      <c r="D48" s="6">
        <v>112</v>
      </c>
    </row>
    <row r="49" spans="1:4" x14ac:dyDescent="0.25">
      <c r="A49" s="4" t="s">
        <v>49</v>
      </c>
      <c r="B49" s="6">
        <v>277</v>
      </c>
      <c r="C49" s="6">
        <v>328</v>
      </c>
      <c r="D49" s="6">
        <v>605</v>
      </c>
    </row>
    <row r="50" spans="1:4" x14ac:dyDescent="0.25">
      <c r="A50" s="4" t="s">
        <v>50</v>
      </c>
      <c r="B50" s="6">
        <v>183</v>
      </c>
      <c r="C50" s="6">
        <v>126</v>
      </c>
      <c r="D50" s="6">
        <v>309</v>
      </c>
    </row>
    <row r="51" spans="1:4" x14ac:dyDescent="0.25">
      <c r="A51" s="4" t="s">
        <v>43</v>
      </c>
      <c r="B51" s="6">
        <v>531</v>
      </c>
      <c r="C51" s="6">
        <v>495</v>
      </c>
      <c r="D51" s="6">
        <v>1026</v>
      </c>
    </row>
    <row r="67" spans="1:4" x14ac:dyDescent="0.25">
      <c r="A67" s="3" t="s">
        <v>46</v>
      </c>
      <c r="B67" s="3" t="s">
        <v>45</v>
      </c>
    </row>
    <row r="68" spans="1:4" x14ac:dyDescent="0.25">
      <c r="A68" s="3" t="s">
        <v>42</v>
      </c>
      <c r="B68" t="s">
        <v>18</v>
      </c>
      <c r="C68" t="s">
        <v>15</v>
      </c>
      <c r="D68" t="s">
        <v>43</v>
      </c>
    </row>
    <row r="69" spans="1:4" x14ac:dyDescent="0.25">
      <c r="A69" s="4">
        <v>25</v>
      </c>
      <c r="B69" s="6">
        <v>2</v>
      </c>
      <c r="C69" s="6">
        <v>4</v>
      </c>
      <c r="D69" s="6">
        <v>6</v>
      </c>
    </row>
    <row r="70" spans="1:4" x14ac:dyDescent="0.25">
      <c r="A70" s="4">
        <v>26</v>
      </c>
      <c r="B70" s="6">
        <v>8</v>
      </c>
      <c r="C70" s="6">
        <v>9</v>
      </c>
      <c r="D70" s="6">
        <v>17</v>
      </c>
    </row>
    <row r="71" spans="1:4" x14ac:dyDescent="0.25">
      <c r="A71" s="4">
        <v>27</v>
      </c>
      <c r="B71" s="6">
        <v>15</v>
      </c>
      <c r="C71" s="6">
        <v>8</v>
      </c>
      <c r="D71" s="6">
        <v>23</v>
      </c>
    </row>
    <row r="72" spans="1:4" x14ac:dyDescent="0.25">
      <c r="A72" s="4">
        <v>28</v>
      </c>
      <c r="B72" s="6">
        <v>12</v>
      </c>
      <c r="C72" s="6">
        <v>10</v>
      </c>
      <c r="D72" s="6">
        <v>22</v>
      </c>
    </row>
    <row r="73" spans="1:4" x14ac:dyDescent="0.25">
      <c r="A73" s="4">
        <v>29</v>
      </c>
      <c r="B73" s="6">
        <v>11</v>
      </c>
      <c r="C73" s="6">
        <v>6</v>
      </c>
      <c r="D73" s="6">
        <v>17</v>
      </c>
    </row>
    <row r="74" spans="1:4" x14ac:dyDescent="0.25">
      <c r="A74" s="4">
        <v>30</v>
      </c>
      <c r="B74" s="6">
        <v>23</v>
      </c>
      <c r="C74" s="6">
        <v>4</v>
      </c>
      <c r="D74" s="6">
        <v>27</v>
      </c>
    </row>
    <row r="75" spans="1:4" x14ac:dyDescent="0.25">
      <c r="A75" s="4">
        <v>31</v>
      </c>
      <c r="B75" s="6">
        <v>18</v>
      </c>
      <c r="C75" s="6">
        <v>8</v>
      </c>
      <c r="D75" s="6">
        <v>26</v>
      </c>
    </row>
    <row r="76" spans="1:4" x14ac:dyDescent="0.25">
      <c r="A76" s="4">
        <v>32</v>
      </c>
      <c r="B76" s="6">
        <v>19</v>
      </c>
      <c r="C76" s="6">
        <v>15</v>
      </c>
      <c r="D76" s="6">
        <v>34</v>
      </c>
    </row>
    <row r="77" spans="1:4" x14ac:dyDescent="0.25">
      <c r="A77" s="4">
        <v>33</v>
      </c>
      <c r="B77" s="6">
        <v>8</v>
      </c>
      <c r="C77" s="6">
        <v>13</v>
      </c>
      <c r="D77" s="6">
        <v>21</v>
      </c>
    </row>
    <row r="78" spans="1:4" x14ac:dyDescent="0.25">
      <c r="A78" s="4">
        <v>34</v>
      </c>
      <c r="B78" s="6">
        <v>13</v>
      </c>
      <c r="C78" s="6">
        <v>19</v>
      </c>
      <c r="D78" s="6">
        <v>32</v>
      </c>
    </row>
    <row r="79" spans="1:4" x14ac:dyDescent="0.25">
      <c r="A79" s="4">
        <v>35</v>
      </c>
      <c r="B79" s="6">
        <v>15</v>
      </c>
      <c r="C79" s="6">
        <v>25</v>
      </c>
      <c r="D79" s="6">
        <v>40</v>
      </c>
    </row>
    <row r="80" spans="1:4" x14ac:dyDescent="0.25">
      <c r="A80" s="4">
        <v>36</v>
      </c>
      <c r="B80" s="6">
        <v>8</v>
      </c>
      <c r="C80" s="6">
        <v>31</v>
      </c>
      <c r="D80" s="6">
        <v>39</v>
      </c>
    </row>
    <row r="81" spans="1:4" x14ac:dyDescent="0.25">
      <c r="A81" s="4">
        <v>37</v>
      </c>
      <c r="B81" s="6">
        <v>4</v>
      </c>
      <c r="C81" s="6">
        <v>28</v>
      </c>
      <c r="D81" s="6">
        <v>32</v>
      </c>
    </row>
    <row r="82" spans="1:4" x14ac:dyDescent="0.25">
      <c r="A82" s="4">
        <v>38</v>
      </c>
      <c r="B82" s="6">
        <v>8</v>
      </c>
      <c r="C82" s="6">
        <v>30</v>
      </c>
      <c r="D82" s="6">
        <v>38</v>
      </c>
    </row>
    <row r="83" spans="1:4" x14ac:dyDescent="0.25">
      <c r="A83" s="4">
        <v>39</v>
      </c>
      <c r="B83" s="6">
        <v>10</v>
      </c>
      <c r="C83" s="6">
        <v>12</v>
      </c>
      <c r="D83" s="6">
        <v>22</v>
      </c>
    </row>
    <row r="84" spans="1:4" x14ac:dyDescent="0.25">
      <c r="A84" s="4">
        <v>40</v>
      </c>
      <c r="B84" s="6">
        <v>25</v>
      </c>
      <c r="C84" s="6">
        <v>19</v>
      </c>
      <c r="D84" s="6">
        <v>44</v>
      </c>
    </row>
    <row r="85" spans="1:4" x14ac:dyDescent="0.25">
      <c r="A85" s="4">
        <v>41</v>
      </c>
      <c r="B85" s="6">
        <v>13</v>
      </c>
      <c r="C85" s="6">
        <v>15</v>
      </c>
      <c r="D85" s="6">
        <v>28</v>
      </c>
    </row>
    <row r="86" spans="1:4" x14ac:dyDescent="0.25">
      <c r="A86" s="4">
        <v>42</v>
      </c>
      <c r="B86" s="6">
        <v>22</v>
      </c>
      <c r="C86" s="6">
        <v>12</v>
      </c>
      <c r="D86" s="6">
        <v>34</v>
      </c>
    </row>
    <row r="87" spans="1:4" x14ac:dyDescent="0.25">
      <c r="A87" s="4">
        <v>43</v>
      </c>
      <c r="B87" s="6">
        <v>17</v>
      </c>
      <c r="C87" s="6">
        <v>19</v>
      </c>
      <c r="D87" s="6">
        <v>36</v>
      </c>
    </row>
    <row r="88" spans="1:4" x14ac:dyDescent="0.25">
      <c r="A88" s="4">
        <v>44</v>
      </c>
      <c r="B88" s="6">
        <v>16</v>
      </c>
      <c r="C88" s="6">
        <v>12</v>
      </c>
      <c r="D88" s="6">
        <v>28</v>
      </c>
    </row>
    <row r="89" spans="1:4" x14ac:dyDescent="0.25">
      <c r="A89" s="4">
        <v>45</v>
      </c>
      <c r="B89" s="6">
        <v>18</v>
      </c>
      <c r="C89" s="6">
        <v>14</v>
      </c>
      <c r="D89" s="6">
        <v>32</v>
      </c>
    </row>
    <row r="90" spans="1:4" x14ac:dyDescent="0.25">
      <c r="A90" s="4">
        <v>46</v>
      </c>
      <c r="B90" s="6">
        <v>12</v>
      </c>
      <c r="C90" s="6">
        <v>15</v>
      </c>
      <c r="D90" s="6">
        <v>27</v>
      </c>
    </row>
    <row r="91" spans="1:4" x14ac:dyDescent="0.25">
      <c r="A91" s="4">
        <v>47</v>
      </c>
      <c r="B91" s="6">
        <v>20</v>
      </c>
      <c r="C91" s="6">
        <v>20</v>
      </c>
      <c r="D91" s="6">
        <v>40</v>
      </c>
    </row>
    <row r="92" spans="1:4" x14ac:dyDescent="0.25">
      <c r="A92" s="4">
        <v>48</v>
      </c>
      <c r="B92" s="6">
        <v>16</v>
      </c>
      <c r="C92" s="6">
        <v>13</v>
      </c>
      <c r="D92" s="6">
        <v>29</v>
      </c>
    </row>
    <row r="93" spans="1:4" x14ac:dyDescent="0.25">
      <c r="A93" s="4">
        <v>49</v>
      </c>
      <c r="B93" s="6">
        <v>15</v>
      </c>
      <c r="C93" s="6">
        <v>8</v>
      </c>
      <c r="D93" s="6">
        <v>23</v>
      </c>
    </row>
    <row r="94" spans="1:4" x14ac:dyDescent="0.25">
      <c r="A94" s="4">
        <v>50</v>
      </c>
      <c r="B94" s="6">
        <v>13</v>
      </c>
      <c r="C94" s="6">
        <v>13</v>
      </c>
      <c r="D94" s="6">
        <v>26</v>
      </c>
    </row>
    <row r="95" spans="1:4" x14ac:dyDescent="0.25">
      <c r="A95" s="4">
        <v>51</v>
      </c>
      <c r="B95" s="6">
        <v>10</v>
      </c>
      <c r="C95" s="6">
        <v>12</v>
      </c>
      <c r="D95" s="6">
        <v>22</v>
      </c>
    </row>
    <row r="96" spans="1:4" x14ac:dyDescent="0.25">
      <c r="A96" s="4">
        <v>52</v>
      </c>
      <c r="B96" s="6">
        <v>10</v>
      </c>
      <c r="C96" s="6">
        <v>15</v>
      </c>
      <c r="D96" s="6">
        <v>25</v>
      </c>
    </row>
    <row r="97" spans="1:4" x14ac:dyDescent="0.25">
      <c r="A97" s="4">
        <v>53</v>
      </c>
      <c r="B97" s="6">
        <v>11</v>
      </c>
      <c r="C97" s="6">
        <v>13</v>
      </c>
      <c r="D97" s="6">
        <v>24</v>
      </c>
    </row>
    <row r="98" spans="1:4" x14ac:dyDescent="0.25">
      <c r="A98" s="4">
        <v>54</v>
      </c>
      <c r="B98" s="6">
        <v>5</v>
      </c>
      <c r="C98" s="6">
        <v>12</v>
      </c>
      <c r="D98" s="6">
        <v>17</v>
      </c>
    </row>
    <row r="99" spans="1:4" x14ac:dyDescent="0.25">
      <c r="A99" s="4">
        <v>55</v>
      </c>
      <c r="B99" s="6">
        <v>14</v>
      </c>
      <c r="C99" s="6">
        <v>6</v>
      </c>
      <c r="D99" s="6">
        <v>20</v>
      </c>
    </row>
    <row r="100" spans="1:4" x14ac:dyDescent="0.25">
      <c r="A100" s="4">
        <v>56</v>
      </c>
      <c r="B100" s="6">
        <v>14</v>
      </c>
      <c r="C100" s="6">
        <v>3</v>
      </c>
      <c r="D100" s="6">
        <v>17</v>
      </c>
    </row>
    <row r="101" spans="1:4" x14ac:dyDescent="0.25">
      <c r="A101" s="4">
        <v>57</v>
      </c>
      <c r="B101" s="6">
        <v>4</v>
      </c>
      <c r="C101" s="6">
        <v>4</v>
      </c>
      <c r="D101" s="6">
        <v>8</v>
      </c>
    </row>
    <row r="102" spans="1:4" x14ac:dyDescent="0.25">
      <c r="A102" s="4">
        <v>58</v>
      </c>
      <c r="B102" s="6">
        <v>8</v>
      </c>
      <c r="C102" s="6">
        <v>4</v>
      </c>
      <c r="D102" s="6">
        <v>12</v>
      </c>
    </row>
    <row r="103" spans="1:4" x14ac:dyDescent="0.25">
      <c r="A103" s="4">
        <v>59</v>
      </c>
      <c r="B103" s="6">
        <v>14</v>
      </c>
      <c r="C103" s="6">
        <v>7</v>
      </c>
      <c r="D103" s="6">
        <v>21</v>
      </c>
    </row>
    <row r="104" spans="1:4" x14ac:dyDescent="0.25">
      <c r="A104" s="4">
        <v>60</v>
      </c>
      <c r="B104" s="6">
        <v>8</v>
      </c>
      <c r="C104" s="6">
        <v>7</v>
      </c>
      <c r="D104" s="6">
        <v>15</v>
      </c>
    </row>
    <row r="105" spans="1:4" x14ac:dyDescent="0.25">
      <c r="A105" s="4">
        <v>61</v>
      </c>
      <c r="B105" s="6">
        <v>5</v>
      </c>
      <c r="C105" s="6">
        <v>4</v>
      </c>
      <c r="D105" s="6">
        <v>9</v>
      </c>
    </row>
    <row r="106" spans="1:4" x14ac:dyDescent="0.25">
      <c r="A106" s="4">
        <v>62</v>
      </c>
      <c r="B106" s="6">
        <v>9</v>
      </c>
      <c r="C106" s="6">
        <v>4</v>
      </c>
      <c r="D106" s="6">
        <v>13</v>
      </c>
    </row>
    <row r="107" spans="1:4" x14ac:dyDescent="0.25">
      <c r="A107" s="4">
        <v>63</v>
      </c>
      <c r="B107" s="6">
        <v>9</v>
      </c>
      <c r="C107" s="6">
        <v>2</v>
      </c>
      <c r="D107" s="6">
        <v>11</v>
      </c>
    </row>
    <row r="108" spans="1:4" x14ac:dyDescent="0.25">
      <c r="A108" s="4">
        <v>64</v>
      </c>
      <c r="B108" s="6">
        <v>7</v>
      </c>
      <c r="C108" s="6">
        <v>3</v>
      </c>
      <c r="D108" s="6">
        <v>10</v>
      </c>
    </row>
    <row r="109" spans="1:4" x14ac:dyDescent="0.25">
      <c r="A109" s="4">
        <v>65</v>
      </c>
      <c r="B109" s="6">
        <v>6</v>
      </c>
      <c r="C109" s="6">
        <v>3</v>
      </c>
      <c r="D109" s="6">
        <v>9</v>
      </c>
    </row>
    <row r="110" spans="1:4" x14ac:dyDescent="0.25">
      <c r="A110" s="4">
        <v>66</v>
      </c>
      <c r="B110" s="6">
        <v>8</v>
      </c>
      <c r="C110" s="6">
        <v>6</v>
      </c>
      <c r="D110" s="6">
        <v>14</v>
      </c>
    </row>
    <row r="111" spans="1:4" x14ac:dyDescent="0.25">
      <c r="A111" s="4">
        <v>67</v>
      </c>
      <c r="B111" s="6">
        <v>8</v>
      </c>
      <c r="C111" s="6">
        <v>2</v>
      </c>
      <c r="D111" s="6">
        <v>10</v>
      </c>
    </row>
    <row r="112" spans="1:4" x14ac:dyDescent="0.25">
      <c r="A112" s="4">
        <v>68</v>
      </c>
      <c r="B112" s="6">
        <v>3</v>
      </c>
      <c r="C112" s="6"/>
      <c r="D112" s="6">
        <v>3</v>
      </c>
    </row>
    <row r="113" spans="1:4" x14ac:dyDescent="0.25">
      <c r="A113" s="4">
        <v>69</v>
      </c>
      <c r="B113" s="6">
        <v>8</v>
      </c>
      <c r="C113" s="6"/>
      <c r="D113" s="6">
        <v>8</v>
      </c>
    </row>
    <row r="114" spans="1:4" x14ac:dyDescent="0.25">
      <c r="A114" s="4">
        <v>70</v>
      </c>
      <c r="B114" s="6">
        <v>3</v>
      </c>
      <c r="C114" s="6">
        <v>1</v>
      </c>
      <c r="D114" s="6">
        <v>4</v>
      </c>
    </row>
    <row r="115" spans="1:4" x14ac:dyDescent="0.25">
      <c r="A115" s="4">
        <v>71</v>
      </c>
      <c r="B115" s="6">
        <v>1</v>
      </c>
      <c r="C115" s="6"/>
      <c r="D115" s="6">
        <v>1</v>
      </c>
    </row>
    <row r="116" spans="1:4" x14ac:dyDescent="0.25">
      <c r="A116" s="4">
        <v>72</v>
      </c>
      <c r="B116" s="6"/>
      <c r="C116" s="6">
        <v>1</v>
      </c>
      <c r="D116" s="6">
        <v>1</v>
      </c>
    </row>
    <row r="117" spans="1:4" x14ac:dyDescent="0.25">
      <c r="A117" s="4">
        <v>73</v>
      </c>
      <c r="B117" s="6">
        <v>2</v>
      </c>
      <c r="C117" s="6">
        <v>2</v>
      </c>
      <c r="D117" s="6">
        <v>4</v>
      </c>
    </row>
    <row r="118" spans="1:4" x14ac:dyDescent="0.25">
      <c r="A118" s="4">
        <v>74</v>
      </c>
      <c r="B118" s="6"/>
      <c r="C118" s="6">
        <v>1</v>
      </c>
      <c r="D118" s="6">
        <v>1</v>
      </c>
    </row>
    <row r="119" spans="1:4" x14ac:dyDescent="0.25">
      <c r="A119" s="4">
        <v>78</v>
      </c>
      <c r="B119" s="6">
        <v>1</v>
      </c>
      <c r="C119" s="6">
        <v>1</v>
      </c>
      <c r="D119" s="6">
        <v>2</v>
      </c>
    </row>
    <row r="120" spans="1:4" x14ac:dyDescent="0.25">
      <c r="A120" s="4">
        <v>80</v>
      </c>
      <c r="B120" s="6">
        <v>1</v>
      </c>
      <c r="C120" s="6"/>
      <c r="D120" s="6">
        <v>1</v>
      </c>
    </row>
    <row r="121" spans="1:4" x14ac:dyDescent="0.25">
      <c r="A121" s="4">
        <v>89</v>
      </c>
      <c r="B121" s="6">
        <v>1</v>
      </c>
      <c r="C121" s="6"/>
      <c r="D121" s="6">
        <v>1</v>
      </c>
    </row>
    <row r="122" spans="1:4" x14ac:dyDescent="0.25">
      <c r="A122" s="4" t="s">
        <v>43</v>
      </c>
      <c r="B122" s="6">
        <v>531</v>
      </c>
      <c r="C122" s="6">
        <v>495</v>
      </c>
      <c r="D122" s="6">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3C67-A71C-46B0-B41B-C843486274F8}">
  <dimension ref="C1:O9"/>
  <sheetViews>
    <sheetView showGridLines="0" tabSelected="1" topLeftCell="A9" zoomScale="98" zoomScaleNormal="98" workbookViewId="0">
      <selection activeCell="U20" sqref="U20"/>
    </sheetView>
  </sheetViews>
  <sheetFormatPr defaultRowHeight="15" x14ac:dyDescent="0.25"/>
  <sheetData>
    <row r="1" spans="3:15" ht="15" customHeight="1" x14ac:dyDescent="0.25">
      <c r="C1" s="7" t="s">
        <v>51</v>
      </c>
      <c r="D1" s="7"/>
      <c r="E1" s="7"/>
      <c r="F1" s="7"/>
      <c r="G1" s="7"/>
      <c r="H1" s="7"/>
      <c r="I1" s="7"/>
      <c r="J1" s="7"/>
      <c r="K1" s="7"/>
      <c r="L1" s="7"/>
      <c r="M1" s="7"/>
      <c r="N1" s="7"/>
      <c r="O1" s="7"/>
    </row>
    <row r="2" spans="3:15" ht="15" customHeight="1" x14ac:dyDescent="0.25">
      <c r="C2" s="7"/>
      <c r="D2" s="7"/>
      <c r="E2" s="7"/>
      <c r="F2" s="7"/>
      <c r="G2" s="7"/>
      <c r="H2" s="7"/>
      <c r="I2" s="7"/>
      <c r="J2" s="7"/>
      <c r="K2" s="7"/>
      <c r="L2" s="7"/>
      <c r="M2" s="7"/>
      <c r="N2" s="7"/>
      <c r="O2" s="7"/>
    </row>
    <row r="3" spans="3:15" ht="15" customHeight="1" x14ac:dyDescent="0.25">
      <c r="C3" s="7"/>
      <c r="D3" s="7"/>
      <c r="E3" s="7"/>
      <c r="F3" s="7"/>
      <c r="G3" s="7"/>
      <c r="H3" s="7"/>
      <c r="I3" s="7"/>
      <c r="J3" s="7"/>
      <c r="K3" s="7"/>
      <c r="L3" s="7"/>
      <c r="M3" s="7"/>
      <c r="N3" s="7"/>
      <c r="O3" s="7"/>
    </row>
    <row r="4" spans="3:15" ht="15" customHeight="1" x14ac:dyDescent="0.25">
      <c r="C4" s="7"/>
      <c r="D4" s="7"/>
      <c r="E4" s="7"/>
      <c r="F4" s="7"/>
      <c r="G4" s="7"/>
      <c r="H4" s="7"/>
      <c r="I4" s="7"/>
      <c r="J4" s="7"/>
      <c r="K4" s="7"/>
      <c r="L4" s="7"/>
      <c r="M4" s="7"/>
      <c r="N4" s="7"/>
      <c r="O4" s="7"/>
    </row>
    <row r="5" spans="3:15" ht="15" customHeight="1" x14ac:dyDescent="0.25">
      <c r="C5" s="7"/>
      <c r="D5" s="7"/>
      <c r="E5" s="7"/>
      <c r="F5" s="7"/>
      <c r="G5" s="7"/>
      <c r="H5" s="7"/>
      <c r="I5" s="7"/>
      <c r="J5" s="7"/>
      <c r="K5" s="7"/>
      <c r="L5" s="7"/>
      <c r="M5" s="7"/>
      <c r="N5" s="7"/>
      <c r="O5" s="7"/>
    </row>
    <row r="6" spans="3:15" ht="15" customHeight="1" x14ac:dyDescent="0.25">
      <c r="C6" s="7"/>
      <c r="D6" s="7"/>
      <c r="E6" s="7"/>
      <c r="F6" s="7"/>
      <c r="G6" s="7"/>
      <c r="H6" s="7"/>
      <c r="I6" s="7"/>
      <c r="J6" s="7"/>
      <c r="K6" s="7"/>
      <c r="L6" s="7"/>
      <c r="M6" s="7"/>
      <c r="N6" s="7"/>
      <c r="O6" s="7"/>
    </row>
    <row r="7" spans="3:15" ht="15" customHeight="1" x14ac:dyDescent="0.25">
      <c r="C7" s="7"/>
      <c r="D7" s="7"/>
      <c r="E7" s="7"/>
      <c r="F7" s="7"/>
      <c r="G7" s="7"/>
      <c r="H7" s="7"/>
      <c r="I7" s="7"/>
      <c r="J7" s="7"/>
      <c r="K7" s="7"/>
      <c r="L7" s="7"/>
      <c r="M7" s="7"/>
      <c r="N7" s="7"/>
      <c r="O7" s="7"/>
    </row>
    <row r="8" spans="3:15" ht="15" customHeight="1" x14ac:dyDescent="0.25">
      <c r="C8" s="7"/>
      <c r="D8" s="7"/>
      <c r="E8" s="7"/>
      <c r="F8" s="7"/>
      <c r="G8" s="7"/>
      <c r="H8" s="7"/>
      <c r="I8" s="7"/>
      <c r="J8" s="7"/>
      <c r="K8" s="7"/>
      <c r="L8" s="7"/>
      <c r="M8" s="7"/>
      <c r="N8" s="7"/>
      <c r="O8" s="7"/>
    </row>
    <row r="9" spans="3:15" ht="15" customHeight="1" x14ac:dyDescent="0.25">
      <c r="C9" s="7"/>
      <c r="D9" s="7"/>
      <c r="E9" s="7"/>
      <c r="F9" s="7"/>
      <c r="G9" s="7"/>
      <c r="H9" s="7"/>
      <c r="I9" s="7"/>
      <c r="J9" s="7"/>
      <c r="K9" s="7"/>
      <c r="L9" s="7"/>
      <c r="M9" s="7"/>
      <c r="N9" s="7"/>
      <c r="O9" s="7"/>
    </row>
  </sheetData>
  <mergeCells count="1">
    <mergeCell ref="C1:O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dc:creator>
  <cp:lastModifiedBy>MM</cp:lastModifiedBy>
  <dcterms:created xsi:type="dcterms:W3CDTF">2022-03-18T02:50:57Z</dcterms:created>
  <dcterms:modified xsi:type="dcterms:W3CDTF">2023-05-24T11:48:14Z</dcterms:modified>
</cp:coreProperties>
</file>